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 SEM C" sheetId="1" r:id="rId4"/>
    <sheet state="visible" name="II SEM C AVG" sheetId="2" r:id="rId5"/>
    <sheet state="visible" name="ATTENDANCE MARKS" sheetId="3" r:id="rId6"/>
    <sheet state="visible" name="CIA " sheetId="4" r:id="rId7"/>
    <sheet state="visible" name="Test" sheetId="5" r:id="rId8"/>
    <sheet state="visible" name="Internal Marks Final " sheetId="6" r:id="rId9"/>
  </sheets>
  <definedNames>
    <definedName hidden="1" localSheetId="1" name="_xlnm._FilterDatabase">'II SEM C AVG'!$A$1:$K$56</definedName>
  </definedNames>
  <calcPr/>
  <extLst>
    <ext uri="GoogleSheetsCustomDataVersion2">
      <go:sheetsCustomData xmlns:go="http://customooxmlschemas.google.com/" r:id="rId10" roundtripDataChecksum="DBLMFnAnGXvV7oEe0kHRrqLTY5NLNLbWykWcatXokAg="/>
    </ext>
  </extLst>
</workbook>
</file>

<file path=xl/sharedStrings.xml><?xml version="1.0" encoding="utf-8"?>
<sst xmlns="http://schemas.openxmlformats.org/spreadsheetml/2006/main" count="758" uniqueCount="154">
  <si>
    <t>KLE SOCIETY'S DEGREE COLLEGE</t>
  </si>
  <si>
    <t>Nagarabhavi, Bengaluru-72</t>
  </si>
  <si>
    <t>Attendance  sheet</t>
  </si>
  <si>
    <t>II Semester - C</t>
  </si>
  <si>
    <t>Sl NO</t>
  </si>
  <si>
    <t xml:space="preserve">Reg Number </t>
  </si>
  <si>
    <t>Students Name</t>
  </si>
  <si>
    <t>Kannada</t>
  </si>
  <si>
    <t>English</t>
  </si>
  <si>
    <t>AFA</t>
  </si>
  <si>
    <t>BO</t>
  </si>
  <si>
    <t>HRM</t>
  </si>
  <si>
    <t>QTB</t>
  </si>
  <si>
    <t>EVS</t>
  </si>
  <si>
    <t>TC</t>
  </si>
  <si>
    <t>TP</t>
  </si>
  <si>
    <t>%</t>
  </si>
  <si>
    <t>TCT</t>
  </si>
  <si>
    <t>TC AVG</t>
  </si>
  <si>
    <t>RC</t>
  </si>
  <si>
    <t>U03FS25C0124</t>
  </si>
  <si>
    <t>Akash N (h)</t>
  </si>
  <si>
    <t>U03FS25C0125</t>
  </si>
  <si>
    <t>Akshay C</t>
  </si>
  <si>
    <t>U03FS25C0126</t>
  </si>
  <si>
    <t>Amith K Y</t>
  </si>
  <si>
    <t>U03FS25C0127</t>
  </si>
  <si>
    <t>Ananya K Y</t>
  </si>
  <si>
    <t>U03FS25C0128</t>
  </si>
  <si>
    <t>Anjali S</t>
  </si>
  <si>
    <t>U03FS25C0129</t>
  </si>
  <si>
    <t>Arya Rajath M</t>
  </si>
  <si>
    <t>U03FS25C0130</t>
  </si>
  <si>
    <t>C M Dheeraj</t>
  </si>
  <si>
    <t>U03FS25C0131</t>
  </si>
  <si>
    <t>Chandru A</t>
  </si>
  <si>
    <t>U03FS25C0132</t>
  </si>
  <si>
    <t>Chinmay C</t>
  </si>
  <si>
    <t>U03FS25C0133</t>
  </si>
  <si>
    <t>Chirag Gowda C S</t>
  </si>
  <si>
    <t>U03FS25C0134</t>
  </si>
  <si>
    <t>Deepika S</t>
  </si>
  <si>
    <t>U03FS25C0135</t>
  </si>
  <si>
    <t>Dhanush M.</t>
  </si>
  <si>
    <t>U03FS25C0136</t>
  </si>
  <si>
    <t>Divya Shree R</t>
  </si>
  <si>
    <t>U03FS25C0137</t>
  </si>
  <si>
    <t>G Amrutha</t>
  </si>
  <si>
    <t>U03FS25C0138</t>
  </si>
  <si>
    <t>R Gagandeep</t>
  </si>
  <si>
    <t>U03FS25C0139</t>
  </si>
  <si>
    <t>Harshitha R</t>
  </si>
  <si>
    <t>U03FS25C0140</t>
  </si>
  <si>
    <t>Jeevitha R</t>
  </si>
  <si>
    <t>U03FS25C0141</t>
  </si>
  <si>
    <t>Lohith T Gowda</t>
  </si>
  <si>
    <t>U03FS25C0142</t>
  </si>
  <si>
    <t>Lokesh E</t>
  </si>
  <si>
    <t>U03FS25C0143</t>
  </si>
  <si>
    <t>Madhushree D</t>
  </si>
  <si>
    <t>U03FS25C0144</t>
  </si>
  <si>
    <t>Manya D</t>
  </si>
  <si>
    <t>U03FS25C0145</t>
  </si>
  <si>
    <t>Monisha B K</t>
  </si>
  <si>
    <t>U03FS25C0146</t>
  </si>
  <si>
    <t>Mustak Nadaf</t>
  </si>
  <si>
    <t>U03FS25C0147</t>
  </si>
  <si>
    <t>Namitha T R</t>
  </si>
  <si>
    <t>U03FS25C0148</t>
  </si>
  <si>
    <t>Punith S</t>
  </si>
  <si>
    <t>U03FS25C0149</t>
  </si>
  <si>
    <t>R Ruchith</t>
  </si>
  <si>
    <t>U03FS25C0150</t>
  </si>
  <si>
    <t>Siddharth S</t>
  </si>
  <si>
    <t>U03FS25C0151</t>
  </si>
  <si>
    <t>S Varsha</t>
  </si>
  <si>
    <t>U03FS25C0152</t>
  </si>
  <si>
    <t>Sachin B K</t>
  </si>
  <si>
    <t>U03FS25C0153</t>
  </si>
  <si>
    <t>Sanjay S</t>
  </si>
  <si>
    <t>U03FS25C0154</t>
  </si>
  <si>
    <t>Shamanth G</t>
  </si>
  <si>
    <t>U03FS25C0155</t>
  </si>
  <si>
    <t>R Shreyas</t>
  </si>
  <si>
    <t>U03FS25C0156</t>
  </si>
  <si>
    <t>Shrusti R</t>
  </si>
  <si>
    <t>U03FS25C0157</t>
  </si>
  <si>
    <t>Sriraksha H R</t>
  </si>
  <si>
    <t>U03FS25C0158</t>
  </si>
  <si>
    <t>Vijay M</t>
  </si>
  <si>
    <t>U03FS25C0159</t>
  </si>
  <si>
    <t>Vinutha K</t>
  </si>
  <si>
    <t>U03FS25C0160</t>
  </si>
  <si>
    <t>Yashwanth D</t>
  </si>
  <si>
    <t>U03FS25C0161</t>
  </si>
  <si>
    <t>Mukesh P (s)</t>
  </si>
  <si>
    <t>U03FS25C0162</t>
  </si>
  <si>
    <t>R Nikhil (s)</t>
  </si>
  <si>
    <t>U03FS25C0163</t>
  </si>
  <si>
    <t>Sneha N (s)</t>
  </si>
  <si>
    <t>U03FS25C0164</t>
  </si>
  <si>
    <t>Srujani M K (s)</t>
  </si>
  <si>
    <t>U03FS25C0165</t>
  </si>
  <si>
    <t>Suresh S E (s)</t>
  </si>
  <si>
    <t>U03FS25C0166</t>
  </si>
  <si>
    <t>Yashaswini S (s)</t>
  </si>
  <si>
    <t>U03FS25C0167</t>
  </si>
  <si>
    <t>Dhananjay Kumar Gupta (h)</t>
  </si>
  <si>
    <t>U03FS25C0168</t>
  </si>
  <si>
    <t>Rishika Paramar (h)</t>
  </si>
  <si>
    <t>U03FS25C0169</t>
  </si>
  <si>
    <t>Rishika S P (h)</t>
  </si>
  <si>
    <t>U03FS25C0170</t>
  </si>
  <si>
    <t>Suman (H)</t>
  </si>
  <si>
    <t>U03FS25C0171</t>
  </si>
  <si>
    <t>Vikas Gowda C (h)</t>
  </si>
  <si>
    <t>U03FS25C0172</t>
  </si>
  <si>
    <t>Zain Ulla Khan (h)</t>
  </si>
  <si>
    <t>U03FS25C0173</t>
  </si>
  <si>
    <t>Sachit Mallick (h)</t>
  </si>
  <si>
    <t>KLE Society's Degree College</t>
  </si>
  <si>
    <t xml:space="preserve">Shortage of Attendance List till </t>
  </si>
  <si>
    <t>KAN</t>
  </si>
  <si>
    <t>ENG</t>
  </si>
  <si>
    <t>AVG</t>
  </si>
  <si>
    <t>Akash N</t>
  </si>
  <si>
    <t>Mukesh P</t>
  </si>
  <si>
    <t>R Nikhil</t>
  </si>
  <si>
    <t>Sneha N</t>
  </si>
  <si>
    <t>Srujani M K</t>
  </si>
  <si>
    <t>Suresh S E</t>
  </si>
  <si>
    <t>Yashaswini S</t>
  </si>
  <si>
    <t>Dhananjay Kumar Gupta</t>
  </si>
  <si>
    <t>Rishika Paramar</t>
  </si>
  <si>
    <t>Rishika S P</t>
  </si>
  <si>
    <t>Suman</t>
  </si>
  <si>
    <t>Vikas Gowda C</t>
  </si>
  <si>
    <t>Zain Ulla Khan</t>
  </si>
  <si>
    <t>Sachit Mallick</t>
  </si>
  <si>
    <t>Attendance Marks</t>
  </si>
  <si>
    <t>CIA - 1             (2.5 Marks)</t>
  </si>
  <si>
    <t>CIA - 2           (2.5 Marks)</t>
  </si>
  <si>
    <t>Mukesh P(S)</t>
  </si>
  <si>
    <t>R Nikhil(S)</t>
  </si>
  <si>
    <t>Sneha N(S)</t>
  </si>
  <si>
    <t>TEST MARKS</t>
  </si>
  <si>
    <t>QTBD</t>
  </si>
  <si>
    <t>TEST 1</t>
  </si>
  <si>
    <t>TEST 2</t>
  </si>
  <si>
    <t>Rishika S P(h)</t>
  </si>
  <si>
    <t>Suman(h)</t>
  </si>
  <si>
    <t>Zain Ulla Khan(h)</t>
  </si>
  <si>
    <t xml:space="preserve">Final Internal Marks </t>
  </si>
  <si>
    <t>EVA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</si>
</sst>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sz val="9.0"/>
      <color theme="1"/>
      <name val="&quot;Times New Roman&quot;"/>
    </font>
    <font/>
    <font>
      <color theme="1"/>
      <name val="Arial"/>
      <scheme val="minor"/>
    </font>
    <font>
      <b/>
      <sz val="5.0"/>
      <color theme="1"/>
      <name val="Palatino Linotype"/>
    </font>
    <font>
      <b/>
      <sz val="9.0"/>
      <color rgb="FFFF0000"/>
      <name val="Palatino Linotype"/>
    </font>
    <font>
      <b/>
      <sz val="9.0"/>
      <color rgb="FF9900FF"/>
      <name val="Palatino Linotype"/>
    </font>
    <font>
      <b/>
      <sz val="8.0"/>
      <color theme="1"/>
      <name val="Palatino Linotype"/>
    </font>
    <font>
      <b/>
      <sz val="8.0"/>
      <color rgb="FF1155CC"/>
      <name val="Palatino Linotype"/>
    </font>
    <font>
      <sz val="9.0"/>
      <color rgb="FF000000"/>
      <name val="Palatino Linotype"/>
    </font>
    <font>
      <sz val="8.0"/>
      <color theme="1"/>
      <name val="Palatino Linotype"/>
    </font>
    <font>
      <b/>
      <sz val="9.0"/>
      <color theme="1"/>
      <name val="Palatino Linotype"/>
    </font>
    <font>
      <sz val="9.0"/>
      <color rgb="FF000000"/>
      <name val="Times New Roman"/>
    </font>
    <font>
      <sz val="8.0"/>
      <color theme="1"/>
      <name val="Arial"/>
    </font>
    <font>
      <sz val="8.0"/>
      <color theme="1"/>
      <name val="Arial"/>
      <scheme val="minor"/>
    </font>
    <font>
      <sz val="9.0"/>
      <color theme="1"/>
      <name val="Arial"/>
    </font>
    <font>
      <b/>
      <sz val="9.0"/>
      <color theme="1"/>
      <name val="Arial"/>
    </font>
    <font>
      <sz val="7.0"/>
      <color theme="1"/>
      <name val="Palatino Linotype"/>
    </font>
    <font>
      <b/>
      <sz val="14.0"/>
      <color theme="1"/>
      <name val="Arial"/>
    </font>
    <font>
      <sz val="9.0"/>
      <color theme="1"/>
      <name val="Palatino Linotype"/>
    </font>
    <font>
      <sz val="10.0"/>
      <color rgb="FF000000"/>
      <name val="Arial"/>
    </font>
    <font>
      <b/>
      <sz val="12.0"/>
      <color theme="1"/>
      <name val="Palatino Linotype"/>
    </font>
    <font>
      <b/>
      <sz val="14.0"/>
      <color theme="1"/>
      <name val="Palatino Linotype"/>
    </font>
    <font>
      <b/>
      <sz val="14.0"/>
      <color rgb="FF9900FF"/>
      <name val="Palatino Linotype"/>
    </font>
  </fonts>
  <fills count="1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DE49A"/>
        <bgColor rgb="FFFDE49A"/>
      </patternFill>
    </fill>
    <fill>
      <patternFill patternType="solid">
        <fgColor theme="0"/>
        <bgColor theme="0"/>
      </patternFill>
    </fill>
    <fill>
      <patternFill patternType="solid">
        <fgColor rgb="FF8DB5F8"/>
        <bgColor rgb="FF8DB5F8"/>
      </patternFill>
    </fill>
    <fill>
      <patternFill patternType="solid">
        <fgColor rgb="FFF28E85"/>
        <bgColor rgb="FFF28E85"/>
      </patternFill>
    </fill>
    <fill>
      <patternFill patternType="solid">
        <fgColor rgb="FFA6E3B6"/>
        <bgColor rgb="FFA6E3B6"/>
      </patternFill>
    </fill>
    <fill>
      <patternFill patternType="solid">
        <fgColor rgb="FFFFC499"/>
        <bgColor rgb="FFFFC499"/>
      </patternFill>
    </fill>
    <fill>
      <patternFill patternType="solid">
        <fgColor rgb="FFB4E4E8"/>
        <bgColor rgb="FFB4E4E8"/>
      </patternFill>
    </fill>
    <fill>
      <patternFill patternType="solid">
        <fgColor rgb="FFBFBFBF"/>
        <bgColor rgb="FFBFBFBF"/>
      </patternFill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</fills>
  <borders count="19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2" fillId="0" fontId="2" numFmtId="0" xfId="0" applyBorder="1" applyFont="1"/>
    <xf borderId="0" fillId="3" fontId="3" numFmtId="0" xfId="0" applyAlignment="1" applyFill="1" applyFont="1">
      <alignment horizontal="center"/>
    </xf>
    <xf borderId="3" fillId="3" fontId="4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3" fillId="3" fontId="5" numFmtId="0" xfId="0" applyAlignment="1" applyBorder="1" applyFont="1">
      <alignment horizontal="center"/>
    </xf>
    <xf borderId="3" fillId="3" fontId="6" numFmtId="0" xfId="0" applyAlignment="1" applyBorder="1" applyFont="1">
      <alignment horizontal="center"/>
    </xf>
    <xf borderId="6" fillId="3" fontId="7" numFmtId="0" xfId="0" applyAlignment="1" applyBorder="1" applyFont="1">
      <alignment horizontal="center"/>
    </xf>
    <xf borderId="3" fillId="3" fontId="8" numFmtId="0" xfId="0" applyAlignment="1" applyBorder="1" applyFont="1">
      <alignment horizontal="center"/>
    </xf>
    <xf borderId="7" fillId="0" fontId="2" numFmtId="0" xfId="0" applyBorder="1" applyFont="1"/>
    <xf borderId="8" fillId="3" fontId="7" numFmtId="0" xfId="0" applyAlignment="1" applyBorder="1" applyFont="1">
      <alignment horizontal="center"/>
    </xf>
    <xf borderId="8" fillId="3" fontId="7" numFmtId="1" xfId="0" applyAlignment="1" applyBorder="1" applyFont="1" applyNumberFormat="1">
      <alignment horizontal="center"/>
    </xf>
    <xf borderId="8" fillId="3" fontId="3" numFmtId="0" xfId="0" applyAlignment="1" applyBorder="1" applyFont="1">
      <alignment horizontal="center" readingOrder="0"/>
    </xf>
    <xf borderId="8" fillId="4" fontId="9" numFmtId="0" xfId="0" applyAlignment="1" applyBorder="1" applyFill="1" applyFont="1">
      <alignment horizontal="center" shrinkToFit="0" wrapText="1"/>
    </xf>
    <xf borderId="8" fillId="4" fontId="9" numFmtId="0" xfId="0" applyAlignment="1" applyBorder="1" applyFont="1">
      <alignment readingOrder="0" shrinkToFit="0" wrapText="1"/>
    </xf>
    <xf borderId="9" fillId="4" fontId="10" numFmtId="0" xfId="0" applyAlignment="1" applyBorder="1" applyFont="1">
      <alignment horizontal="center" readingOrder="0"/>
    </xf>
    <xf borderId="8" fillId="4" fontId="10" numFmtId="0" xfId="0" applyAlignment="1" applyBorder="1" applyFont="1">
      <alignment horizontal="center" readingOrder="0"/>
    </xf>
    <xf borderId="8" fillId="4" fontId="10" numFmtId="1" xfId="0" applyAlignment="1" applyBorder="1" applyFont="1" applyNumberFormat="1">
      <alignment horizontal="center"/>
    </xf>
    <xf borderId="8" fillId="4" fontId="11" numFmtId="1" xfId="0" applyAlignment="1" applyBorder="1" applyFont="1" applyNumberFormat="1">
      <alignment horizontal="center"/>
    </xf>
    <xf borderId="8" fillId="3" fontId="3" numFmtId="0" xfId="0" applyAlignment="1" applyBorder="1" applyFont="1">
      <alignment horizontal="center"/>
    </xf>
    <xf borderId="8" fillId="0" fontId="12" numFmtId="0" xfId="0" applyAlignment="1" applyBorder="1" applyFont="1">
      <alignment horizontal="center" shrinkToFit="0" wrapText="1"/>
    </xf>
    <xf borderId="8" fillId="0" fontId="9" numFmtId="0" xfId="0" applyAlignment="1" applyBorder="1" applyFont="1">
      <alignment horizontal="center" shrinkToFit="0" wrapText="1"/>
    </xf>
    <xf borderId="8" fillId="0" fontId="9" numFmtId="0" xfId="0" applyAlignment="1" applyBorder="1" applyFont="1">
      <alignment shrinkToFit="0" wrapText="1"/>
    </xf>
    <xf borderId="8" fillId="0" fontId="13" numFmtId="0" xfId="0" applyAlignment="1" applyBorder="1" applyFont="1">
      <alignment horizontal="center" readingOrder="0"/>
    </xf>
    <xf borderId="8" fillId="0" fontId="13" numFmtId="1" xfId="0" applyAlignment="1" applyBorder="1" applyFont="1" applyNumberFormat="1">
      <alignment horizontal="center"/>
    </xf>
    <xf borderId="0" fillId="0" fontId="14" numFmtId="0" xfId="0" applyAlignment="1" applyFont="1">
      <alignment horizontal="center" readingOrder="0"/>
    </xf>
    <xf borderId="8" fillId="0" fontId="15" numFmtId="1" xfId="0" applyAlignment="1" applyBorder="1" applyFont="1" applyNumberFormat="1">
      <alignment horizontal="center"/>
    </xf>
    <xf borderId="8" fillId="0" fontId="9" numFmtId="0" xfId="0" applyAlignment="1" applyBorder="1" applyFont="1">
      <alignment readingOrder="0" shrinkToFit="0" wrapText="1"/>
    </xf>
    <xf borderId="0" fillId="0" fontId="3" numFmtId="0" xfId="0" applyAlignment="1" applyFont="1">
      <alignment horizontal="center"/>
    </xf>
    <xf borderId="3" fillId="3" fontId="16" numFmtId="0" xfId="0" applyAlignment="1" applyBorder="1" applyFont="1">
      <alignment horizontal="center"/>
    </xf>
    <xf borderId="3" fillId="3" fontId="11" numFmtId="0" xfId="0" applyAlignment="1" applyBorder="1" applyFont="1">
      <alignment horizontal="center"/>
    </xf>
    <xf borderId="6" fillId="3" fontId="11" numFmtId="0" xfId="0" applyAlignment="1" applyBorder="1" applyFont="1">
      <alignment horizontal="center" vertical="center"/>
    </xf>
    <xf borderId="8" fillId="3" fontId="11" numFmtId="0" xfId="0" applyAlignment="1" applyBorder="1" applyFont="1">
      <alignment horizontal="center"/>
    </xf>
    <xf borderId="8" fillId="3" fontId="11" numFmtId="1" xfId="0" applyAlignment="1" applyBorder="1" applyFont="1" applyNumberFormat="1">
      <alignment horizontal="center"/>
    </xf>
    <xf borderId="10" fillId="0" fontId="2" numFmtId="0" xfId="0" applyBorder="1" applyFont="1"/>
    <xf borderId="8" fillId="4" fontId="9" numFmtId="0" xfId="0" applyAlignment="1" applyBorder="1" applyFont="1">
      <alignment shrinkToFit="0" wrapText="1"/>
    </xf>
    <xf borderId="8" fillId="0" fontId="17" numFmtId="1" xfId="0" applyAlignment="1" applyBorder="1" applyFont="1" applyNumberFormat="1">
      <alignment horizontal="center"/>
    </xf>
    <xf borderId="8" fillId="4" fontId="17" numFmtId="1" xfId="0" applyAlignment="1" applyBorder="1" applyFont="1" applyNumberFormat="1">
      <alignment horizontal="center"/>
    </xf>
    <xf borderId="3" fillId="3" fontId="18" numFmtId="0" xfId="0" applyAlignment="1" applyBorder="1" applyFont="1">
      <alignment horizontal="center"/>
    </xf>
    <xf borderId="3" fillId="3" fontId="5" numFmtId="0" xfId="0" applyAlignment="1" applyBorder="1" applyFont="1">
      <alignment horizontal="center" readingOrder="0"/>
    </xf>
    <xf borderId="11" fillId="3" fontId="11" numFmtId="0" xfId="0" applyBorder="1" applyFont="1"/>
    <xf borderId="11" fillId="3" fontId="11" numFmtId="0" xfId="0" applyAlignment="1" applyBorder="1" applyFont="1">
      <alignment horizontal="center" vertical="center"/>
    </xf>
    <xf borderId="8" fillId="3" fontId="11" numFmtId="0" xfId="0" applyAlignment="1" applyBorder="1" applyFont="1">
      <alignment horizontal="center" vertical="center"/>
    </xf>
    <xf borderId="8" fillId="0" fontId="19" numFmtId="1" xfId="0" applyAlignment="1" applyBorder="1" applyFont="1" applyNumberFormat="1">
      <alignment horizontal="center"/>
    </xf>
    <xf borderId="8" fillId="0" fontId="19" numFmtId="1" xfId="0" applyAlignment="1" applyBorder="1" applyFont="1" applyNumberFormat="1">
      <alignment horizontal="center" vertical="center"/>
    </xf>
    <xf borderId="0" fillId="0" fontId="20" numFmtId="0" xfId="0" applyAlignment="1" applyFont="1">
      <alignment horizontal="center" vertical="center"/>
    </xf>
    <xf borderId="3" fillId="3" fontId="21" numFmtId="0" xfId="0" applyAlignment="1" applyBorder="1" applyFont="1">
      <alignment horizontal="center"/>
    </xf>
    <xf borderId="3" fillId="5" fontId="11" numFmtId="0" xfId="0" applyAlignment="1" applyBorder="1" applyFill="1" applyFont="1">
      <alignment horizontal="center"/>
    </xf>
    <xf borderId="3" fillId="6" fontId="11" numFmtId="0" xfId="0" applyAlignment="1" applyBorder="1" applyFill="1" applyFont="1">
      <alignment horizontal="center"/>
    </xf>
    <xf borderId="3" fillId="7" fontId="11" numFmtId="0" xfId="0" applyAlignment="1" applyBorder="1" applyFill="1" applyFont="1">
      <alignment horizontal="center"/>
    </xf>
    <xf borderId="3" fillId="8" fontId="11" numFmtId="0" xfId="0" applyAlignment="1" applyBorder="1" applyFill="1" applyFont="1">
      <alignment horizontal="center"/>
    </xf>
    <xf borderId="3" fillId="9" fontId="11" numFmtId="0" xfId="0" applyAlignment="1" applyBorder="1" applyFill="1" applyFont="1">
      <alignment horizontal="center"/>
    </xf>
    <xf borderId="3" fillId="10" fontId="11" numFmtId="0" xfId="0" applyAlignment="1" applyBorder="1" applyFill="1" applyFont="1">
      <alignment horizontal="center"/>
    </xf>
    <xf borderId="3" fillId="11" fontId="11" numFmtId="0" xfId="0" applyAlignment="1" applyBorder="1" applyFill="1" applyFont="1">
      <alignment horizontal="center"/>
    </xf>
    <xf borderId="8" fillId="5" fontId="11" numFmtId="0" xfId="0" applyAlignment="1" applyBorder="1" applyFont="1">
      <alignment horizontal="center" shrinkToFit="0" vertical="center" wrapText="1"/>
    </xf>
    <xf borderId="8" fillId="6" fontId="11" numFmtId="0" xfId="0" applyAlignment="1" applyBorder="1" applyFont="1">
      <alignment horizontal="center" shrinkToFit="0" vertical="center" wrapText="1"/>
    </xf>
    <xf borderId="8" fillId="7" fontId="11" numFmtId="0" xfId="0" applyAlignment="1" applyBorder="1" applyFont="1">
      <alignment horizontal="center" shrinkToFit="0" vertical="center" wrapText="1"/>
    </xf>
    <xf borderId="8" fillId="8" fontId="11" numFmtId="0" xfId="0" applyAlignment="1" applyBorder="1" applyFont="1">
      <alignment horizontal="center" shrinkToFit="0" vertical="center" wrapText="1"/>
    </xf>
    <xf borderId="8" fillId="9" fontId="11" numFmtId="0" xfId="0" applyAlignment="1" applyBorder="1" applyFont="1">
      <alignment horizontal="center" shrinkToFit="0" vertical="center" wrapText="1"/>
    </xf>
    <xf borderId="8" fillId="10" fontId="11" numFmtId="0" xfId="0" applyAlignment="1" applyBorder="1" applyFont="1">
      <alignment horizontal="center" shrinkToFit="0" vertical="center" wrapText="1"/>
    </xf>
    <xf borderId="8" fillId="11" fontId="11" numFmtId="0" xfId="0" applyAlignment="1" applyBorder="1" applyFont="1">
      <alignment horizontal="center" shrinkToFit="0" vertical="center" wrapText="1"/>
    </xf>
    <xf borderId="8" fillId="0" fontId="20" numFmtId="0" xfId="0" applyAlignment="1" applyBorder="1" applyFont="1">
      <alignment horizontal="center" readingOrder="0"/>
    </xf>
    <xf borderId="8" fillId="0" fontId="20" numFmtId="0" xfId="0" applyAlignment="1" applyBorder="1" applyFont="1">
      <alignment horizontal="center"/>
    </xf>
    <xf borderId="0" fillId="0" fontId="20" numFmtId="0" xfId="0" applyAlignment="1" applyFont="1">
      <alignment horizontal="center"/>
    </xf>
    <xf borderId="3" fillId="3" fontId="22" numFmtId="0" xfId="0" applyAlignment="1" applyBorder="1" applyFont="1">
      <alignment horizontal="center"/>
    </xf>
    <xf borderId="3" fillId="3" fontId="23" numFmtId="0" xfId="0" applyAlignment="1" applyBorder="1" applyFont="1">
      <alignment horizontal="center"/>
    </xf>
    <xf borderId="12" fillId="3" fontId="11" numFmtId="0" xfId="0" applyAlignment="1" applyBorder="1" applyFont="1">
      <alignment horizontal="center" vertical="center"/>
    </xf>
    <xf borderId="13" fillId="5" fontId="11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3" fillId="6" fontId="11" numFmtId="0" xfId="0" applyAlignment="1" applyBorder="1" applyFont="1">
      <alignment horizontal="center" vertical="center"/>
    </xf>
    <xf borderId="13" fillId="7" fontId="11" numFmtId="0" xfId="0" applyAlignment="1" applyBorder="1" applyFont="1">
      <alignment horizontal="center" vertical="center"/>
    </xf>
    <xf borderId="13" fillId="8" fontId="11" numFmtId="0" xfId="0" applyAlignment="1" applyBorder="1" applyFont="1">
      <alignment horizontal="center" vertical="center"/>
    </xf>
    <xf borderId="13" fillId="9" fontId="11" numFmtId="0" xfId="0" applyAlignment="1" applyBorder="1" applyFont="1">
      <alignment horizontal="center" vertical="center"/>
    </xf>
    <xf borderId="13" fillId="10" fontId="11" numFmtId="0" xfId="0" applyAlignment="1" applyBorder="1" applyFont="1">
      <alignment horizontal="center" readingOrder="0" vertical="center"/>
    </xf>
    <xf borderId="16" fillId="11" fontId="11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8" fillId="5" fontId="7" numFmtId="0" xfId="0" applyAlignment="1" applyBorder="1" applyFont="1">
      <alignment horizontal="center" shrinkToFit="0" vertical="center" wrapText="1"/>
    </xf>
    <xf borderId="11" fillId="5" fontId="11" numFmtId="0" xfId="0" applyAlignment="1" applyBorder="1" applyFont="1">
      <alignment horizontal="center"/>
    </xf>
    <xf borderId="8" fillId="0" fontId="20" numFmtId="2" xfId="0" applyAlignment="1" applyBorder="1" applyFont="1" applyNumberFormat="1">
      <alignment horizontal="center"/>
    </xf>
    <xf borderId="8" fillId="12" fontId="20" numFmtId="0" xfId="0" applyAlignment="1" applyBorder="1" applyFill="1" applyFont="1">
      <alignment horizontal="center" readingOrder="0"/>
    </xf>
    <xf borderId="8" fillId="12" fontId="20" numFmtId="0" xfId="0" applyAlignment="1" applyBorder="1" applyFont="1">
      <alignment horizontal="center"/>
    </xf>
    <xf borderId="8" fillId="12" fontId="20" numFmtId="2" xfId="0" applyAlignment="1" applyBorder="1" applyFont="1" applyNumberFormat="1">
      <alignment horizontal="center"/>
    </xf>
    <xf borderId="3" fillId="13" fontId="21" numFmtId="0" xfId="0" applyAlignment="1" applyBorder="1" applyFill="1" applyFont="1">
      <alignment horizontal="center"/>
    </xf>
    <xf borderId="3" fillId="13" fontId="11" numFmtId="0" xfId="0" applyAlignment="1" applyBorder="1" applyFont="1">
      <alignment horizontal="center"/>
    </xf>
    <xf borderId="3" fillId="13" fontId="6" numFmtId="0" xfId="0" applyAlignment="1" applyBorder="1" applyFont="1">
      <alignment horizontal="center"/>
    </xf>
    <xf borderId="11" fillId="13" fontId="11" numFmtId="0" xfId="0" applyAlignment="1" applyBorder="1" applyFont="1">
      <alignment vertical="center"/>
    </xf>
    <xf borderId="8" fillId="13" fontId="11" numFmtId="0" xfId="0" applyAlignment="1" applyBorder="1" applyFont="1">
      <alignment horizontal="center"/>
    </xf>
    <xf borderId="8" fillId="13" fontId="11" numFmtId="0" xfId="0" applyAlignment="1" applyBorder="1" applyFont="1">
      <alignment horizontal="center" vertical="center"/>
    </xf>
    <xf borderId="9" fillId="4" fontId="9" numFmtId="1" xfId="0" applyAlignment="1" applyBorder="1" applyFont="1" applyNumberFormat="1">
      <alignment horizontal="center" shrinkToFit="0" wrapText="1"/>
    </xf>
    <xf borderId="8" fillId="4" fontId="9" numFmtId="1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3">
    <dxf>
      <font>
        <b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4.25"/>
    <col customWidth="1" min="3" max="3" width="21.0"/>
    <col customWidth="1" min="4" max="4" width="5.88"/>
    <col customWidth="1" min="5" max="8" width="5.75"/>
    <col customWidth="1" min="9" max="9" width="6.75"/>
    <col customWidth="1" min="10" max="11" width="5.75"/>
    <col customWidth="1" min="12" max="12" width="6.75"/>
    <col customWidth="1" min="13" max="14" width="5.75"/>
    <col customWidth="1" min="15" max="15" width="6.75"/>
    <col customWidth="1" min="16" max="17" width="5.75"/>
    <col customWidth="1" min="18" max="18" width="6.75"/>
    <col customWidth="1" min="19" max="20" width="5.75"/>
    <col customWidth="1" min="21" max="21" width="6.75"/>
    <col customWidth="1" min="22" max="23" width="5.75"/>
    <col customWidth="1" min="24" max="24" width="7.0"/>
    <col customWidth="1" hidden="1" min="25" max="25" width="4.25"/>
    <col customWidth="1" hidden="1" min="26" max="26" width="7.13"/>
    <col customWidth="1" hidden="1" min="27" max="27" width="4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4"/>
      <c r="Z1" s="4"/>
      <c r="AA1" s="4"/>
    </row>
    <row r="2" ht="8.2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  <c r="Y2" s="4"/>
      <c r="Z2" s="4"/>
      <c r="AA2" s="4"/>
    </row>
    <row r="3" ht="9.75" customHeight="1">
      <c r="A3" s="8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4"/>
      <c r="Z3" s="4"/>
      <c r="AA3" s="4"/>
    </row>
    <row r="4" ht="9.75" customHeight="1">
      <c r="A4" s="9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4"/>
      <c r="Z4" s="4"/>
      <c r="AA4" s="4"/>
    </row>
    <row r="5" ht="15.75" customHeight="1">
      <c r="A5" s="10" t="s">
        <v>4</v>
      </c>
      <c r="B5" s="10" t="s">
        <v>5</v>
      </c>
      <c r="C5" s="10" t="s">
        <v>6</v>
      </c>
      <c r="D5" s="11" t="s">
        <v>7</v>
      </c>
      <c r="E5" s="6"/>
      <c r="F5" s="7"/>
      <c r="G5" s="11" t="s">
        <v>8</v>
      </c>
      <c r="H5" s="6"/>
      <c r="I5" s="7"/>
      <c r="J5" s="11" t="s">
        <v>9</v>
      </c>
      <c r="K5" s="6"/>
      <c r="L5" s="7"/>
      <c r="M5" s="11" t="s">
        <v>10</v>
      </c>
      <c r="N5" s="6"/>
      <c r="O5" s="7"/>
      <c r="P5" s="11" t="s">
        <v>11</v>
      </c>
      <c r="Q5" s="6"/>
      <c r="R5" s="7"/>
      <c r="S5" s="11" t="s">
        <v>12</v>
      </c>
      <c r="T5" s="6"/>
      <c r="U5" s="7"/>
      <c r="V5" s="11" t="s">
        <v>13</v>
      </c>
      <c r="W5" s="6"/>
      <c r="X5" s="7"/>
      <c r="Y5" s="4"/>
      <c r="Z5" s="4"/>
      <c r="AA5" s="4"/>
    </row>
    <row r="6">
      <c r="A6" s="12"/>
      <c r="B6" s="12"/>
      <c r="C6" s="12"/>
      <c r="D6" s="13" t="s">
        <v>14</v>
      </c>
      <c r="E6" s="13" t="s">
        <v>15</v>
      </c>
      <c r="F6" s="14" t="s">
        <v>16</v>
      </c>
      <c r="G6" s="13" t="s">
        <v>14</v>
      </c>
      <c r="H6" s="13" t="s">
        <v>15</v>
      </c>
      <c r="I6" s="13" t="s">
        <v>16</v>
      </c>
      <c r="J6" s="13" t="s">
        <v>14</v>
      </c>
      <c r="K6" s="13" t="s">
        <v>15</v>
      </c>
      <c r="L6" s="14" t="s">
        <v>16</v>
      </c>
      <c r="M6" s="13" t="s">
        <v>14</v>
      </c>
      <c r="N6" s="13" t="s">
        <v>15</v>
      </c>
      <c r="O6" s="14" t="s">
        <v>16</v>
      </c>
      <c r="P6" s="13" t="s">
        <v>14</v>
      </c>
      <c r="Q6" s="13" t="s">
        <v>15</v>
      </c>
      <c r="R6" s="13" t="s">
        <v>16</v>
      </c>
      <c r="S6" s="13" t="s">
        <v>14</v>
      </c>
      <c r="T6" s="13" t="s">
        <v>15</v>
      </c>
      <c r="U6" s="13" t="s">
        <v>16</v>
      </c>
      <c r="V6" s="13" t="s">
        <v>14</v>
      </c>
      <c r="W6" s="13" t="s">
        <v>15</v>
      </c>
      <c r="X6" s="13" t="s">
        <v>16</v>
      </c>
      <c r="Y6" s="15" t="s">
        <v>17</v>
      </c>
      <c r="Z6" s="15" t="s">
        <v>18</v>
      </c>
      <c r="AA6" s="15" t="s">
        <v>19</v>
      </c>
    </row>
    <row r="7" ht="15.75" customHeight="1">
      <c r="A7" s="16">
        <v>1.0</v>
      </c>
      <c r="B7" s="16" t="s">
        <v>20</v>
      </c>
      <c r="C7" s="17" t="s">
        <v>21</v>
      </c>
      <c r="D7" s="18">
        <v>28.0</v>
      </c>
      <c r="E7" s="19">
        <v>4.0</v>
      </c>
      <c r="F7" s="20">
        <f t="shared" ref="F7:F56" si="1">E7/D7*100</f>
        <v>14.28571429</v>
      </c>
      <c r="G7" s="19">
        <v>19.0</v>
      </c>
      <c r="H7" s="19">
        <v>18.0</v>
      </c>
      <c r="I7" s="20">
        <f t="shared" ref="I7:I56" si="2">H7/G7*100</f>
        <v>94.73684211</v>
      </c>
      <c r="J7" s="19">
        <v>26.0</v>
      </c>
      <c r="K7" s="19">
        <v>23.0</v>
      </c>
      <c r="L7" s="20">
        <f t="shared" ref="L7:L56" si="3">K7/J7*100</f>
        <v>88.46153846</v>
      </c>
      <c r="M7" s="19">
        <v>33.0</v>
      </c>
      <c r="N7" s="19">
        <v>27.0</v>
      </c>
      <c r="O7" s="20">
        <f t="shared" ref="O7:O56" si="4">N7/M7*100</f>
        <v>81.81818182</v>
      </c>
      <c r="P7" s="19">
        <v>37.0</v>
      </c>
      <c r="Q7" s="19">
        <v>21.0</v>
      </c>
      <c r="R7" s="20">
        <f>Q7/P7*100</f>
        <v>56.75675676</v>
      </c>
      <c r="S7" s="19">
        <v>38.0</v>
      </c>
      <c r="T7" s="19">
        <v>35.0</v>
      </c>
      <c r="U7" s="20">
        <f t="shared" ref="U7:U56" si="5">T7/S7*100</f>
        <v>92.10526316</v>
      </c>
      <c r="V7" s="19">
        <v>18.0</v>
      </c>
      <c r="W7" s="19">
        <v>15.0</v>
      </c>
      <c r="X7" s="21">
        <f t="shared" ref="X7:X56" si="6">(W7/V7*100)</f>
        <v>83.33333333</v>
      </c>
      <c r="Y7" s="22">
        <f t="shared" ref="Y7:Y56" si="7">D7+G7+J7+M7+P7+S7+V7</f>
        <v>199</v>
      </c>
      <c r="Z7" s="15">
        <v>300.0</v>
      </c>
      <c r="AA7" s="22">
        <f t="shared" ref="AA7:AA56" si="8">Y7-Z7</f>
        <v>-101</v>
      </c>
    </row>
    <row r="8" ht="15.75" customHeight="1">
      <c r="A8" s="23">
        <v>2.0</v>
      </c>
      <c r="B8" s="24" t="s">
        <v>22</v>
      </c>
      <c r="C8" s="25" t="s">
        <v>23</v>
      </c>
      <c r="D8" s="18">
        <v>28.0</v>
      </c>
      <c r="E8" s="26">
        <v>8.0</v>
      </c>
      <c r="F8" s="27">
        <f t="shared" si="1"/>
        <v>28.57142857</v>
      </c>
      <c r="G8" s="19">
        <v>19.0</v>
      </c>
      <c r="H8" s="19">
        <v>14.0</v>
      </c>
      <c r="I8" s="20">
        <f t="shared" si="2"/>
        <v>73.68421053</v>
      </c>
      <c r="J8" s="19">
        <v>26.0</v>
      </c>
      <c r="K8" s="26">
        <v>21.0</v>
      </c>
      <c r="L8" s="27">
        <f t="shared" si="3"/>
        <v>80.76923077</v>
      </c>
      <c r="M8" s="19">
        <v>33.0</v>
      </c>
      <c r="N8" s="26">
        <v>24.0</v>
      </c>
      <c r="O8" s="27">
        <f t="shared" si="4"/>
        <v>72.72727273</v>
      </c>
      <c r="P8" s="19">
        <v>37.0</v>
      </c>
      <c r="Q8" s="28">
        <v>23.0</v>
      </c>
      <c r="R8" s="27">
        <f>Q7/P8*100</f>
        <v>56.75675676</v>
      </c>
      <c r="S8" s="19">
        <v>38.0</v>
      </c>
      <c r="T8" s="26">
        <v>29.0</v>
      </c>
      <c r="U8" s="27">
        <f t="shared" si="5"/>
        <v>76.31578947</v>
      </c>
      <c r="V8" s="19">
        <v>18.0</v>
      </c>
      <c r="W8" s="26">
        <v>9.0</v>
      </c>
      <c r="X8" s="29">
        <f t="shared" si="6"/>
        <v>50</v>
      </c>
      <c r="Y8" s="22">
        <f t="shared" si="7"/>
        <v>199</v>
      </c>
      <c r="Z8" s="15">
        <v>300.0</v>
      </c>
      <c r="AA8" s="22">
        <f t="shared" si="8"/>
        <v>-101</v>
      </c>
    </row>
    <row r="9" ht="15.75" customHeight="1">
      <c r="A9" s="23">
        <v>3.0</v>
      </c>
      <c r="B9" s="24" t="s">
        <v>24</v>
      </c>
      <c r="C9" s="25" t="s">
        <v>25</v>
      </c>
      <c r="D9" s="18">
        <v>28.0</v>
      </c>
      <c r="E9" s="26">
        <v>19.0</v>
      </c>
      <c r="F9" s="27">
        <f t="shared" si="1"/>
        <v>67.85714286</v>
      </c>
      <c r="G9" s="19">
        <v>19.0</v>
      </c>
      <c r="H9" s="19">
        <v>17.0</v>
      </c>
      <c r="I9" s="20">
        <f t="shared" si="2"/>
        <v>89.47368421</v>
      </c>
      <c r="J9" s="19">
        <v>26.0</v>
      </c>
      <c r="K9" s="26">
        <v>26.0</v>
      </c>
      <c r="L9" s="27">
        <f t="shared" si="3"/>
        <v>100</v>
      </c>
      <c r="M9" s="19">
        <v>33.0</v>
      </c>
      <c r="N9" s="26">
        <v>32.0</v>
      </c>
      <c r="O9" s="27">
        <f t="shared" si="4"/>
        <v>96.96969697</v>
      </c>
      <c r="P9" s="19">
        <v>37.0</v>
      </c>
      <c r="Q9" s="19">
        <v>34.0</v>
      </c>
      <c r="R9" s="27">
        <f t="shared" ref="R9:R56" si="9">Q9/P9*100</f>
        <v>91.89189189</v>
      </c>
      <c r="S9" s="19">
        <v>38.0</v>
      </c>
      <c r="T9" s="26">
        <v>36.0</v>
      </c>
      <c r="U9" s="27">
        <f t="shared" si="5"/>
        <v>94.73684211</v>
      </c>
      <c r="V9" s="19">
        <v>18.0</v>
      </c>
      <c r="W9" s="26">
        <v>16.0</v>
      </c>
      <c r="X9" s="29">
        <f t="shared" si="6"/>
        <v>88.88888889</v>
      </c>
      <c r="Y9" s="22">
        <f t="shared" si="7"/>
        <v>199</v>
      </c>
      <c r="Z9" s="15">
        <v>300.0</v>
      </c>
      <c r="AA9" s="22">
        <f t="shared" si="8"/>
        <v>-101</v>
      </c>
    </row>
    <row r="10" ht="15.75" customHeight="1">
      <c r="A10" s="23">
        <v>4.0</v>
      </c>
      <c r="B10" s="24" t="s">
        <v>26</v>
      </c>
      <c r="C10" s="25" t="s">
        <v>27</v>
      </c>
      <c r="D10" s="18">
        <v>28.0</v>
      </c>
      <c r="E10" s="26">
        <v>25.0</v>
      </c>
      <c r="F10" s="27">
        <f t="shared" si="1"/>
        <v>89.28571429</v>
      </c>
      <c r="G10" s="19">
        <v>19.0</v>
      </c>
      <c r="H10" s="19">
        <v>18.0</v>
      </c>
      <c r="I10" s="20">
        <f t="shared" si="2"/>
        <v>94.73684211</v>
      </c>
      <c r="J10" s="19">
        <v>26.0</v>
      </c>
      <c r="K10" s="26">
        <v>26.0</v>
      </c>
      <c r="L10" s="27">
        <f t="shared" si="3"/>
        <v>100</v>
      </c>
      <c r="M10" s="19">
        <v>33.0</v>
      </c>
      <c r="N10" s="26">
        <v>32.0</v>
      </c>
      <c r="O10" s="27">
        <f t="shared" si="4"/>
        <v>96.96969697</v>
      </c>
      <c r="P10" s="19">
        <v>37.0</v>
      </c>
      <c r="Q10" s="19">
        <v>35.0</v>
      </c>
      <c r="R10" s="27">
        <f t="shared" si="9"/>
        <v>94.59459459</v>
      </c>
      <c r="S10" s="19">
        <v>38.0</v>
      </c>
      <c r="T10" s="26">
        <v>37.0</v>
      </c>
      <c r="U10" s="27">
        <f t="shared" si="5"/>
        <v>97.36842105</v>
      </c>
      <c r="V10" s="19">
        <v>18.0</v>
      </c>
      <c r="W10" s="26">
        <v>15.0</v>
      </c>
      <c r="X10" s="29">
        <f t="shared" si="6"/>
        <v>83.33333333</v>
      </c>
      <c r="Y10" s="22">
        <f t="shared" si="7"/>
        <v>199</v>
      </c>
      <c r="Z10" s="15">
        <v>300.0</v>
      </c>
      <c r="AA10" s="22">
        <f t="shared" si="8"/>
        <v>-101</v>
      </c>
    </row>
    <row r="11" ht="15.75" customHeight="1">
      <c r="A11" s="23">
        <v>5.0</v>
      </c>
      <c r="B11" s="24" t="s">
        <v>28</v>
      </c>
      <c r="C11" s="25" t="s">
        <v>29</v>
      </c>
      <c r="D11" s="18">
        <v>28.0</v>
      </c>
      <c r="E11" s="26">
        <v>18.0</v>
      </c>
      <c r="F11" s="27">
        <f t="shared" si="1"/>
        <v>64.28571429</v>
      </c>
      <c r="G11" s="19">
        <v>19.0</v>
      </c>
      <c r="H11" s="19">
        <v>10.0</v>
      </c>
      <c r="I11" s="20">
        <f t="shared" si="2"/>
        <v>52.63157895</v>
      </c>
      <c r="J11" s="19">
        <v>26.0</v>
      </c>
      <c r="K11" s="26">
        <v>19.0</v>
      </c>
      <c r="L11" s="27">
        <f t="shared" si="3"/>
        <v>73.07692308</v>
      </c>
      <c r="M11" s="19">
        <v>33.0</v>
      </c>
      <c r="N11" s="26">
        <v>21.0</v>
      </c>
      <c r="O11" s="27">
        <f t="shared" si="4"/>
        <v>63.63636364</v>
      </c>
      <c r="P11" s="19">
        <v>37.0</v>
      </c>
      <c r="Q11" s="19">
        <v>24.0</v>
      </c>
      <c r="R11" s="27">
        <f t="shared" si="9"/>
        <v>64.86486486</v>
      </c>
      <c r="S11" s="19">
        <v>38.0</v>
      </c>
      <c r="T11" s="26">
        <v>23.0</v>
      </c>
      <c r="U11" s="27">
        <f t="shared" si="5"/>
        <v>60.52631579</v>
      </c>
      <c r="V11" s="19">
        <v>18.0</v>
      </c>
      <c r="W11" s="26">
        <v>16.0</v>
      </c>
      <c r="X11" s="29">
        <f t="shared" si="6"/>
        <v>88.88888889</v>
      </c>
      <c r="Y11" s="22">
        <f t="shared" si="7"/>
        <v>199</v>
      </c>
      <c r="Z11" s="15">
        <v>300.0</v>
      </c>
      <c r="AA11" s="22">
        <f t="shared" si="8"/>
        <v>-101</v>
      </c>
    </row>
    <row r="12" ht="15.75" customHeight="1">
      <c r="A12" s="23">
        <v>6.0</v>
      </c>
      <c r="B12" s="24" t="s">
        <v>30</v>
      </c>
      <c r="C12" s="25" t="s">
        <v>31</v>
      </c>
      <c r="D12" s="18">
        <v>28.0</v>
      </c>
      <c r="E12" s="26">
        <v>24.0</v>
      </c>
      <c r="F12" s="27">
        <f t="shared" si="1"/>
        <v>85.71428571</v>
      </c>
      <c r="G12" s="19">
        <v>19.0</v>
      </c>
      <c r="H12" s="19">
        <v>18.0</v>
      </c>
      <c r="I12" s="20">
        <f t="shared" si="2"/>
        <v>94.73684211</v>
      </c>
      <c r="J12" s="19">
        <v>26.0</v>
      </c>
      <c r="K12" s="26">
        <v>25.0</v>
      </c>
      <c r="L12" s="27">
        <f t="shared" si="3"/>
        <v>96.15384615</v>
      </c>
      <c r="M12" s="19">
        <v>33.0</v>
      </c>
      <c r="N12" s="26">
        <v>32.0</v>
      </c>
      <c r="O12" s="27">
        <f t="shared" si="4"/>
        <v>96.96969697</v>
      </c>
      <c r="P12" s="19">
        <v>37.0</v>
      </c>
      <c r="Q12" s="19">
        <v>34.0</v>
      </c>
      <c r="R12" s="27">
        <f t="shared" si="9"/>
        <v>91.89189189</v>
      </c>
      <c r="S12" s="19">
        <v>38.0</v>
      </c>
      <c r="T12" s="26">
        <v>37.0</v>
      </c>
      <c r="U12" s="27">
        <f t="shared" si="5"/>
        <v>97.36842105</v>
      </c>
      <c r="V12" s="19">
        <v>18.0</v>
      </c>
      <c r="W12" s="26">
        <v>17.0</v>
      </c>
      <c r="X12" s="29">
        <f t="shared" si="6"/>
        <v>94.44444444</v>
      </c>
      <c r="Y12" s="22">
        <f t="shared" si="7"/>
        <v>199</v>
      </c>
      <c r="Z12" s="15">
        <v>300.0</v>
      </c>
      <c r="AA12" s="22">
        <f t="shared" si="8"/>
        <v>-101</v>
      </c>
    </row>
    <row r="13" ht="15.75" customHeight="1">
      <c r="A13" s="23">
        <v>7.0</v>
      </c>
      <c r="B13" s="24" t="s">
        <v>32</v>
      </c>
      <c r="C13" s="25" t="s">
        <v>33</v>
      </c>
      <c r="D13" s="18">
        <v>28.0</v>
      </c>
      <c r="E13" s="26">
        <v>15.0</v>
      </c>
      <c r="F13" s="27">
        <f t="shared" si="1"/>
        <v>53.57142857</v>
      </c>
      <c r="G13" s="19">
        <v>19.0</v>
      </c>
      <c r="H13" s="19">
        <v>19.0</v>
      </c>
      <c r="I13" s="20">
        <f t="shared" si="2"/>
        <v>100</v>
      </c>
      <c r="J13" s="19">
        <v>26.0</v>
      </c>
      <c r="K13" s="26">
        <v>25.0</v>
      </c>
      <c r="L13" s="27">
        <f t="shared" si="3"/>
        <v>96.15384615</v>
      </c>
      <c r="M13" s="19">
        <v>33.0</v>
      </c>
      <c r="N13" s="26">
        <v>33.0</v>
      </c>
      <c r="O13" s="27">
        <f t="shared" si="4"/>
        <v>100</v>
      </c>
      <c r="P13" s="19">
        <v>37.0</v>
      </c>
      <c r="Q13" s="19">
        <v>33.0</v>
      </c>
      <c r="R13" s="27">
        <f t="shared" si="9"/>
        <v>89.18918919</v>
      </c>
      <c r="S13" s="19">
        <v>38.0</v>
      </c>
      <c r="T13" s="26">
        <v>38.0</v>
      </c>
      <c r="U13" s="27">
        <f t="shared" si="5"/>
        <v>100</v>
      </c>
      <c r="V13" s="19">
        <v>18.0</v>
      </c>
      <c r="W13" s="26">
        <v>18.0</v>
      </c>
      <c r="X13" s="29">
        <f t="shared" si="6"/>
        <v>100</v>
      </c>
      <c r="Y13" s="22">
        <f t="shared" si="7"/>
        <v>199</v>
      </c>
      <c r="Z13" s="15">
        <v>300.0</v>
      </c>
      <c r="AA13" s="22">
        <f t="shared" si="8"/>
        <v>-101</v>
      </c>
    </row>
    <row r="14" ht="15.75" customHeight="1">
      <c r="A14" s="23">
        <v>8.0</v>
      </c>
      <c r="B14" s="24" t="s">
        <v>34</v>
      </c>
      <c r="C14" s="25" t="s">
        <v>35</v>
      </c>
      <c r="D14" s="18">
        <v>28.0</v>
      </c>
      <c r="E14" s="26">
        <v>21.0</v>
      </c>
      <c r="F14" s="27">
        <f t="shared" si="1"/>
        <v>75</v>
      </c>
      <c r="G14" s="19">
        <v>19.0</v>
      </c>
      <c r="H14" s="19">
        <v>16.0</v>
      </c>
      <c r="I14" s="20">
        <f t="shared" si="2"/>
        <v>84.21052632</v>
      </c>
      <c r="J14" s="19">
        <v>26.0</v>
      </c>
      <c r="K14" s="26">
        <v>23.0</v>
      </c>
      <c r="L14" s="27">
        <f t="shared" si="3"/>
        <v>88.46153846</v>
      </c>
      <c r="M14" s="19">
        <v>33.0</v>
      </c>
      <c r="N14" s="26">
        <v>28.0</v>
      </c>
      <c r="O14" s="27">
        <f t="shared" si="4"/>
        <v>84.84848485</v>
      </c>
      <c r="P14" s="19">
        <v>37.0</v>
      </c>
      <c r="Q14" s="19">
        <v>25.0</v>
      </c>
      <c r="R14" s="27">
        <f t="shared" si="9"/>
        <v>67.56756757</v>
      </c>
      <c r="S14" s="19">
        <v>38.0</v>
      </c>
      <c r="T14" s="26">
        <v>31.0</v>
      </c>
      <c r="U14" s="27">
        <f t="shared" si="5"/>
        <v>81.57894737</v>
      </c>
      <c r="V14" s="19">
        <v>18.0</v>
      </c>
      <c r="W14" s="26">
        <v>16.0</v>
      </c>
      <c r="X14" s="29">
        <f t="shared" si="6"/>
        <v>88.88888889</v>
      </c>
      <c r="Y14" s="22">
        <f t="shared" si="7"/>
        <v>199</v>
      </c>
      <c r="Z14" s="15">
        <v>300.0</v>
      </c>
      <c r="AA14" s="22">
        <f t="shared" si="8"/>
        <v>-101</v>
      </c>
    </row>
    <row r="15" ht="15.75" customHeight="1">
      <c r="A15" s="23">
        <v>9.0</v>
      </c>
      <c r="B15" s="24" t="s">
        <v>36</v>
      </c>
      <c r="C15" s="25" t="s">
        <v>37</v>
      </c>
      <c r="D15" s="18">
        <v>28.0</v>
      </c>
      <c r="E15" s="26">
        <v>16.0</v>
      </c>
      <c r="F15" s="27">
        <f t="shared" si="1"/>
        <v>57.14285714</v>
      </c>
      <c r="G15" s="19">
        <v>19.0</v>
      </c>
      <c r="H15" s="19">
        <v>9.0</v>
      </c>
      <c r="I15" s="20">
        <f t="shared" si="2"/>
        <v>47.36842105</v>
      </c>
      <c r="J15" s="19">
        <v>26.0</v>
      </c>
      <c r="K15" s="26">
        <v>19.0</v>
      </c>
      <c r="L15" s="27">
        <f t="shared" si="3"/>
        <v>73.07692308</v>
      </c>
      <c r="M15" s="19">
        <v>33.0</v>
      </c>
      <c r="N15" s="26">
        <v>24.0</v>
      </c>
      <c r="O15" s="27">
        <f t="shared" si="4"/>
        <v>72.72727273</v>
      </c>
      <c r="P15" s="19">
        <v>37.0</v>
      </c>
      <c r="Q15" s="19">
        <v>24.0</v>
      </c>
      <c r="R15" s="27">
        <f t="shared" si="9"/>
        <v>64.86486486</v>
      </c>
      <c r="S15" s="19">
        <v>38.0</v>
      </c>
      <c r="T15" s="26">
        <v>29.0</v>
      </c>
      <c r="U15" s="27">
        <f t="shared" si="5"/>
        <v>76.31578947</v>
      </c>
      <c r="V15" s="19">
        <v>18.0</v>
      </c>
      <c r="W15" s="26">
        <v>14.0</v>
      </c>
      <c r="X15" s="29">
        <f t="shared" si="6"/>
        <v>77.77777778</v>
      </c>
      <c r="Y15" s="22">
        <f t="shared" si="7"/>
        <v>199</v>
      </c>
      <c r="Z15" s="15">
        <v>300.0</v>
      </c>
      <c r="AA15" s="22">
        <f t="shared" si="8"/>
        <v>-101</v>
      </c>
    </row>
    <row r="16" ht="15.75" customHeight="1">
      <c r="A16" s="23">
        <v>10.0</v>
      </c>
      <c r="B16" s="24" t="s">
        <v>38</v>
      </c>
      <c r="C16" s="25" t="s">
        <v>39</v>
      </c>
      <c r="D16" s="18">
        <v>28.0</v>
      </c>
      <c r="E16" s="26">
        <v>22.0</v>
      </c>
      <c r="F16" s="27">
        <f t="shared" si="1"/>
        <v>78.57142857</v>
      </c>
      <c r="G16" s="19">
        <v>19.0</v>
      </c>
      <c r="H16" s="19">
        <v>17.0</v>
      </c>
      <c r="I16" s="20">
        <f t="shared" si="2"/>
        <v>89.47368421</v>
      </c>
      <c r="J16" s="19">
        <v>26.0</v>
      </c>
      <c r="K16" s="26">
        <v>23.0</v>
      </c>
      <c r="L16" s="27">
        <f t="shared" si="3"/>
        <v>88.46153846</v>
      </c>
      <c r="M16" s="19">
        <v>33.0</v>
      </c>
      <c r="N16" s="26">
        <v>22.0</v>
      </c>
      <c r="O16" s="27">
        <f t="shared" si="4"/>
        <v>66.66666667</v>
      </c>
      <c r="P16" s="19">
        <v>37.0</v>
      </c>
      <c r="Q16" s="19">
        <v>31.0</v>
      </c>
      <c r="R16" s="27">
        <f t="shared" si="9"/>
        <v>83.78378378</v>
      </c>
      <c r="S16" s="19">
        <v>38.0</v>
      </c>
      <c r="T16" s="26">
        <v>36.0</v>
      </c>
      <c r="U16" s="27">
        <f t="shared" si="5"/>
        <v>94.73684211</v>
      </c>
      <c r="V16" s="19">
        <v>18.0</v>
      </c>
      <c r="W16" s="26">
        <v>13.0</v>
      </c>
      <c r="X16" s="29">
        <f t="shared" si="6"/>
        <v>72.22222222</v>
      </c>
      <c r="Y16" s="22">
        <f t="shared" si="7"/>
        <v>199</v>
      </c>
      <c r="Z16" s="15">
        <v>300.0</v>
      </c>
      <c r="AA16" s="22">
        <f t="shared" si="8"/>
        <v>-101</v>
      </c>
    </row>
    <row r="17" ht="15.75" customHeight="1">
      <c r="A17" s="23">
        <v>11.0</v>
      </c>
      <c r="B17" s="24" t="s">
        <v>40</v>
      </c>
      <c r="C17" s="25" t="s">
        <v>41</v>
      </c>
      <c r="D17" s="18">
        <v>28.0</v>
      </c>
      <c r="E17" s="26">
        <v>24.0</v>
      </c>
      <c r="F17" s="27">
        <f t="shared" si="1"/>
        <v>85.71428571</v>
      </c>
      <c r="G17" s="19">
        <v>19.0</v>
      </c>
      <c r="H17" s="19">
        <v>19.0</v>
      </c>
      <c r="I17" s="20">
        <f t="shared" si="2"/>
        <v>100</v>
      </c>
      <c r="J17" s="19">
        <v>26.0</v>
      </c>
      <c r="K17" s="26">
        <v>23.0</v>
      </c>
      <c r="L17" s="27">
        <f t="shared" si="3"/>
        <v>88.46153846</v>
      </c>
      <c r="M17" s="19">
        <v>33.0</v>
      </c>
      <c r="N17" s="26">
        <v>31.0</v>
      </c>
      <c r="O17" s="27">
        <f t="shared" si="4"/>
        <v>93.93939394</v>
      </c>
      <c r="P17" s="19">
        <v>37.0</v>
      </c>
      <c r="Q17" s="19">
        <v>34.0</v>
      </c>
      <c r="R17" s="27">
        <f t="shared" si="9"/>
        <v>91.89189189</v>
      </c>
      <c r="S17" s="19">
        <v>38.0</v>
      </c>
      <c r="T17" s="26">
        <v>37.0</v>
      </c>
      <c r="U17" s="27">
        <f t="shared" si="5"/>
        <v>97.36842105</v>
      </c>
      <c r="V17" s="19">
        <v>18.0</v>
      </c>
      <c r="W17" s="26">
        <v>15.0</v>
      </c>
      <c r="X17" s="29">
        <f t="shared" si="6"/>
        <v>83.33333333</v>
      </c>
      <c r="Y17" s="22">
        <f t="shared" si="7"/>
        <v>199</v>
      </c>
      <c r="Z17" s="15">
        <v>300.0</v>
      </c>
      <c r="AA17" s="22">
        <f t="shared" si="8"/>
        <v>-101</v>
      </c>
    </row>
    <row r="18" ht="15.75" customHeight="1">
      <c r="A18" s="23">
        <v>12.0</v>
      </c>
      <c r="B18" s="24" t="s">
        <v>42</v>
      </c>
      <c r="C18" s="25" t="s">
        <v>43</v>
      </c>
      <c r="D18" s="18">
        <v>28.0</v>
      </c>
      <c r="E18" s="26">
        <v>22.0</v>
      </c>
      <c r="F18" s="27">
        <f t="shared" si="1"/>
        <v>78.57142857</v>
      </c>
      <c r="G18" s="19">
        <v>19.0</v>
      </c>
      <c r="H18" s="19">
        <v>14.0</v>
      </c>
      <c r="I18" s="20">
        <f t="shared" si="2"/>
        <v>73.68421053</v>
      </c>
      <c r="J18" s="19">
        <v>26.0</v>
      </c>
      <c r="K18" s="26">
        <v>22.0</v>
      </c>
      <c r="L18" s="27">
        <f t="shared" si="3"/>
        <v>84.61538462</v>
      </c>
      <c r="M18" s="19">
        <v>33.0</v>
      </c>
      <c r="N18" s="26">
        <v>29.0</v>
      </c>
      <c r="O18" s="27">
        <f t="shared" si="4"/>
        <v>87.87878788</v>
      </c>
      <c r="P18" s="19">
        <v>37.0</v>
      </c>
      <c r="Q18" s="19">
        <v>31.0</v>
      </c>
      <c r="R18" s="27">
        <f t="shared" si="9"/>
        <v>83.78378378</v>
      </c>
      <c r="S18" s="19">
        <v>38.0</v>
      </c>
      <c r="T18" s="26">
        <v>36.0</v>
      </c>
      <c r="U18" s="27">
        <f t="shared" si="5"/>
        <v>94.73684211</v>
      </c>
      <c r="V18" s="19">
        <v>18.0</v>
      </c>
      <c r="W18" s="26">
        <v>13.0</v>
      </c>
      <c r="X18" s="29">
        <f t="shared" si="6"/>
        <v>72.22222222</v>
      </c>
      <c r="Y18" s="22">
        <f t="shared" si="7"/>
        <v>199</v>
      </c>
      <c r="Z18" s="15">
        <v>300.0</v>
      </c>
      <c r="AA18" s="22">
        <f t="shared" si="8"/>
        <v>-101</v>
      </c>
    </row>
    <row r="19" ht="15.75" customHeight="1">
      <c r="A19" s="23">
        <v>13.0</v>
      </c>
      <c r="B19" s="24" t="s">
        <v>44</v>
      </c>
      <c r="C19" s="25" t="s">
        <v>45</v>
      </c>
      <c r="D19" s="18">
        <v>28.0</v>
      </c>
      <c r="E19" s="26">
        <v>22.0</v>
      </c>
      <c r="F19" s="27">
        <f t="shared" si="1"/>
        <v>78.57142857</v>
      </c>
      <c r="G19" s="19">
        <v>19.0</v>
      </c>
      <c r="H19" s="19">
        <v>13.0</v>
      </c>
      <c r="I19" s="20">
        <f t="shared" si="2"/>
        <v>68.42105263</v>
      </c>
      <c r="J19" s="19">
        <v>26.0</v>
      </c>
      <c r="K19" s="26">
        <v>22.0</v>
      </c>
      <c r="L19" s="27">
        <f t="shared" si="3"/>
        <v>84.61538462</v>
      </c>
      <c r="M19" s="19">
        <v>33.0</v>
      </c>
      <c r="N19" s="26">
        <v>23.0</v>
      </c>
      <c r="O19" s="27">
        <f t="shared" si="4"/>
        <v>69.6969697</v>
      </c>
      <c r="P19" s="19">
        <v>37.0</v>
      </c>
      <c r="Q19" s="19">
        <v>29.0</v>
      </c>
      <c r="R19" s="27">
        <f t="shared" si="9"/>
        <v>78.37837838</v>
      </c>
      <c r="S19" s="19">
        <v>38.0</v>
      </c>
      <c r="T19" s="26">
        <v>27.0</v>
      </c>
      <c r="U19" s="27">
        <f t="shared" si="5"/>
        <v>71.05263158</v>
      </c>
      <c r="V19" s="19">
        <v>18.0</v>
      </c>
      <c r="W19" s="26">
        <v>14.0</v>
      </c>
      <c r="X19" s="29">
        <f t="shared" si="6"/>
        <v>77.77777778</v>
      </c>
      <c r="Y19" s="22">
        <f t="shared" si="7"/>
        <v>199</v>
      </c>
      <c r="Z19" s="15">
        <v>300.0</v>
      </c>
      <c r="AA19" s="22">
        <f t="shared" si="8"/>
        <v>-101</v>
      </c>
    </row>
    <row r="20" ht="15.75" customHeight="1">
      <c r="A20" s="23">
        <v>14.0</v>
      </c>
      <c r="B20" s="24" t="s">
        <v>46</v>
      </c>
      <c r="C20" s="25" t="s">
        <v>47</v>
      </c>
      <c r="D20" s="18">
        <v>28.0</v>
      </c>
      <c r="E20" s="26">
        <v>24.0</v>
      </c>
      <c r="F20" s="27">
        <f t="shared" si="1"/>
        <v>85.71428571</v>
      </c>
      <c r="G20" s="19">
        <v>19.0</v>
      </c>
      <c r="H20" s="19">
        <v>19.0</v>
      </c>
      <c r="I20" s="20">
        <f t="shared" si="2"/>
        <v>100</v>
      </c>
      <c r="J20" s="19">
        <v>26.0</v>
      </c>
      <c r="K20" s="26">
        <v>25.0</v>
      </c>
      <c r="L20" s="27">
        <f t="shared" si="3"/>
        <v>96.15384615</v>
      </c>
      <c r="M20" s="19">
        <v>33.0</v>
      </c>
      <c r="N20" s="26">
        <v>33.0</v>
      </c>
      <c r="O20" s="27">
        <f t="shared" si="4"/>
        <v>100</v>
      </c>
      <c r="P20" s="19">
        <v>37.0</v>
      </c>
      <c r="Q20" s="19">
        <v>37.0</v>
      </c>
      <c r="R20" s="27">
        <f t="shared" si="9"/>
        <v>100</v>
      </c>
      <c r="S20" s="19">
        <v>38.0</v>
      </c>
      <c r="T20" s="26">
        <v>36.0</v>
      </c>
      <c r="U20" s="27">
        <f t="shared" si="5"/>
        <v>94.73684211</v>
      </c>
      <c r="V20" s="19">
        <v>18.0</v>
      </c>
      <c r="W20" s="26">
        <v>16.0</v>
      </c>
      <c r="X20" s="29">
        <f t="shared" si="6"/>
        <v>88.88888889</v>
      </c>
      <c r="Y20" s="22">
        <f t="shared" si="7"/>
        <v>199</v>
      </c>
      <c r="Z20" s="15">
        <v>300.0</v>
      </c>
      <c r="AA20" s="22">
        <f t="shared" si="8"/>
        <v>-101</v>
      </c>
    </row>
    <row r="21" ht="15.75" customHeight="1">
      <c r="A21" s="23">
        <v>15.0</v>
      </c>
      <c r="B21" s="24" t="s">
        <v>48</v>
      </c>
      <c r="C21" s="25" t="s">
        <v>49</v>
      </c>
      <c r="D21" s="18">
        <v>28.0</v>
      </c>
      <c r="E21" s="26">
        <v>13.0</v>
      </c>
      <c r="F21" s="27">
        <f t="shared" si="1"/>
        <v>46.42857143</v>
      </c>
      <c r="G21" s="19">
        <v>19.0</v>
      </c>
      <c r="H21" s="19">
        <v>11.0</v>
      </c>
      <c r="I21" s="20">
        <f t="shared" si="2"/>
        <v>57.89473684</v>
      </c>
      <c r="J21" s="19">
        <v>26.0</v>
      </c>
      <c r="K21" s="26">
        <v>19.0</v>
      </c>
      <c r="L21" s="27">
        <f t="shared" si="3"/>
        <v>73.07692308</v>
      </c>
      <c r="M21" s="19">
        <v>33.0</v>
      </c>
      <c r="N21" s="26">
        <v>22.0</v>
      </c>
      <c r="O21" s="27">
        <f t="shared" si="4"/>
        <v>66.66666667</v>
      </c>
      <c r="P21" s="19">
        <v>37.0</v>
      </c>
      <c r="Q21" s="19">
        <v>19.0</v>
      </c>
      <c r="R21" s="27">
        <f t="shared" si="9"/>
        <v>51.35135135</v>
      </c>
      <c r="S21" s="19">
        <v>38.0</v>
      </c>
      <c r="T21" s="26">
        <v>25.0</v>
      </c>
      <c r="U21" s="27">
        <f t="shared" si="5"/>
        <v>65.78947368</v>
      </c>
      <c r="V21" s="19">
        <v>18.0</v>
      </c>
      <c r="W21" s="26">
        <v>11.0</v>
      </c>
      <c r="X21" s="29">
        <f t="shared" si="6"/>
        <v>61.11111111</v>
      </c>
      <c r="Y21" s="22">
        <f t="shared" si="7"/>
        <v>199</v>
      </c>
      <c r="Z21" s="15">
        <v>300.0</v>
      </c>
      <c r="AA21" s="22">
        <f t="shared" si="8"/>
        <v>-101</v>
      </c>
    </row>
    <row r="22" ht="15.75" customHeight="1">
      <c r="A22" s="23">
        <v>16.0</v>
      </c>
      <c r="B22" s="24" t="s">
        <v>50</v>
      </c>
      <c r="C22" s="25" t="s">
        <v>51</v>
      </c>
      <c r="D22" s="18">
        <v>28.0</v>
      </c>
      <c r="E22" s="26">
        <v>12.0</v>
      </c>
      <c r="F22" s="27">
        <f t="shared" si="1"/>
        <v>42.85714286</v>
      </c>
      <c r="G22" s="19">
        <v>19.0</v>
      </c>
      <c r="H22" s="19">
        <v>9.0</v>
      </c>
      <c r="I22" s="20">
        <f t="shared" si="2"/>
        <v>47.36842105</v>
      </c>
      <c r="J22" s="19">
        <v>26.0</v>
      </c>
      <c r="K22" s="26">
        <v>14.0</v>
      </c>
      <c r="L22" s="27">
        <f t="shared" si="3"/>
        <v>53.84615385</v>
      </c>
      <c r="M22" s="19">
        <v>33.0</v>
      </c>
      <c r="N22" s="26">
        <v>13.0</v>
      </c>
      <c r="O22" s="27">
        <f t="shared" si="4"/>
        <v>39.39393939</v>
      </c>
      <c r="P22" s="19">
        <v>37.0</v>
      </c>
      <c r="Q22" s="19">
        <v>17.0</v>
      </c>
      <c r="R22" s="27">
        <f t="shared" si="9"/>
        <v>45.94594595</v>
      </c>
      <c r="S22" s="19">
        <v>38.0</v>
      </c>
      <c r="T22" s="26">
        <v>28.0</v>
      </c>
      <c r="U22" s="27">
        <f t="shared" si="5"/>
        <v>73.68421053</v>
      </c>
      <c r="V22" s="19">
        <v>18.0</v>
      </c>
      <c r="W22" s="26">
        <v>9.0</v>
      </c>
      <c r="X22" s="29">
        <f t="shared" si="6"/>
        <v>50</v>
      </c>
      <c r="Y22" s="22">
        <f t="shared" si="7"/>
        <v>199</v>
      </c>
      <c r="Z22" s="15">
        <v>300.0</v>
      </c>
      <c r="AA22" s="22">
        <f t="shared" si="8"/>
        <v>-101</v>
      </c>
    </row>
    <row r="23" ht="15.75" customHeight="1">
      <c r="A23" s="23">
        <v>17.0</v>
      </c>
      <c r="B23" s="24" t="s">
        <v>52</v>
      </c>
      <c r="C23" s="25" t="s">
        <v>53</v>
      </c>
      <c r="D23" s="18">
        <v>28.0</v>
      </c>
      <c r="E23" s="26">
        <v>21.0</v>
      </c>
      <c r="F23" s="27">
        <f t="shared" si="1"/>
        <v>75</v>
      </c>
      <c r="G23" s="19">
        <v>19.0</v>
      </c>
      <c r="H23" s="19">
        <v>17.0</v>
      </c>
      <c r="I23" s="20">
        <f t="shared" si="2"/>
        <v>89.47368421</v>
      </c>
      <c r="J23" s="19">
        <v>26.0</v>
      </c>
      <c r="K23" s="26">
        <v>23.0</v>
      </c>
      <c r="L23" s="27">
        <f t="shared" si="3"/>
        <v>88.46153846</v>
      </c>
      <c r="M23" s="19">
        <v>33.0</v>
      </c>
      <c r="N23" s="26">
        <v>31.0</v>
      </c>
      <c r="O23" s="27">
        <f t="shared" si="4"/>
        <v>93.93939394</v>
      </c>
      <c r="P23" s="19">
        <v>37.0</v>
      </c>
      <c r="Q23" s="19">
        <v>30.0</v>
      </c>
      <c r="R23" s="27">
        <f t="shared" si="9"/>
        <v>81.08108108</v>
      </c>
      <c r="S23" s="19">
        <v>38.0</v>
      </c>
      <c r="T23" s="26">
        <v>28.0</v>
      </c>
      <c r="U23" s="27">
        <f t="shared" si="5"/>
        <v>73.68421053</v>
      </c>
      <c r="V23" s="19">
        <v>18.0</v>
      </c>
      <c r="W23" s="26">
        <v>15.0</v>
      </c>
      <c r="X23" s="29">
        <f t="shared" si="6"/>
        <v>83.33333333</v>
      </c>
      <c r="Y23" s="22">
        <f t="shared" si="7"/>
        <v>199</v>
      </c>
      <c r="Z23" s="15">
        <v>300.0</v>
      </c>
      <c r="AA23" s="22">
        <f t="shared" si="8"/>
        <v>-101</v>
      </c>
    </row>
    <row r="24" ht="15.75" customHeight="1">
      <c r="A24" s="23">
        <v>18.0</v>
      </c>
      <c r="B24" s="24" t="s">
        <v>54</v>
      </c>
      <c r="C24" s="25" t="s">
        <v>55</v>
      </c>
      <c r="D24" s="18">
        <v>28.0</v>
      </c>
      <c r="E24" s="26">
        <v>23.0</v>
      </c>
      <c r="F24" s="27">
        <f t="shared" si="1"/>
        <v>82.14285714</v>
      </c>
      <c r="G24" s="19">
        <v>19.0</v>
      </c>
      <c r="H24" s="19">
        <v>17.0</v>
      </c>
      <c r="I24" s="20">
        <f t="shared" si="2"/>
        <v>89.47368421</v>
      </c>
      <c r="J24" s="19">
        <v>26.0</v>
      </c>
      <c r="K24" s="26">
        <v>26.0</v>
      </c>
      <c r="L24" s="27">
        <f t="shared" si="3"/>
        <v>100</v>
      </c>
      <c r="M24" s="19">
        <v>33.0</v>
      </c>
      <c r="N24" s="26">
        <v>27.0</v>
      </c>
      <c r="O24" s="27">
        <f t="shared" si="4"/>
        <v>81.81818182</v>
      </c>
      <c r="P24" s="19">
        <v>37.0</v>
      </c>
      <c r="Q24" s="19">
        <v>32.0</v>
      </c>
      <c r="R24" s="27">
        <f t="shared" si="9"/>
        <v>86.48648649</v>
      </c>
      <c r="S24" s="19">
        <v>38.0</v>
      </c>
      <c r="T24" s="26">
        <v>36.0</v>
      </c>
      <c r="U24" s="27">
        <f t="shared" si="5"/>
        <v>94.73684211</v>
      </c>
      <c r="V24" s="19">
        <v>18.0</v>
      </c>
      <c r="W24" s="26">
        <v>16.0</v>
      </c>
      <c r="X24" s="29">
        <f t="shared" si="6"/>
        <v>88.88888889</v>
      </c>
      <c r="Y24" s="22">
        <f t="shared" si="7"/>
        <v>199</v>
      </c>
      <c r="Z24" s="15">
        <v>300.0</v>
      </c>
      <c r="AA24" s="22">
        <f t="shared" si="8"/>
        <v>-101</v>
      </c>
    </row>
    <row r="25" ht="15.75" customHeight="1">
      <c r="A25" s="23">
        <v>19.0</v>
      </c>
      <c r="B25" s="24" t="s">
        <v>56</v>
      </c>
      <c r="C25" s="25" t="s">
        <v>57</v>
      </c>
      <c r="D25" s="18">
        <v>28.0</v>
      </c>
      <c r="E25" s="26">
        <v>23.0</v>
      </c>
      <c r="F25" s="27">
        <f t="shared" si="1"/>
        <v>82.14285714</v>
      </c>
      <c r="G25" s="19">
        <v>19.0</v>
      </c>
      <c r="H25" s="19">
        <v>19.0</v>
      </c>
      <c r="I25" s="20">
        <f t="shared" si="2"/>
        <v>100</v>
      </c>
      <c r="J25" s="19">
        <v>26.0</v>
      </c>
      <c r="K25" s="26">
        <v>24.0</v>
      </c>
      <c r="L25" s="27">
        <f t="shared" si="3"/>
        <v>92.30769231</v>
      </c>
      <c r="M25" s="19">
        <v>33.0</v>
      </c>
      <c r="N25" s="26">
        <v>28.0</v>
      </c>
      <c r="O25" s="27">
        <f t="shared" si="4"/>
        <v>84.84848485</v>
      </c>
      <c r="P25" s="19">
        <v>37.0</v>
      </c>
      <c r="Q25" s="19">
        <v>27.0</v>
      </c>
      <c r="R25" s="27">
        <f t="shared" si="9"/>
        <v>72.97297297</v>
      </c>
      <c r="S25" s="19">
        <v>38.0</v>
      </c>
      <c r="T25" s="26">
        <v>34.0</v>
      </c>
      <c r="U25" s="27">
        <f t="shared" si="5"/>
        <v>89.47368421</v>
      </c>
      <c r="V25" s="19">
        <v>18.0</v>
      </c>
      <c r="W25" s="26">
        <v>17.0</v>
      </c>
      <c r="X25" s="29">
        <f t="shared" si="6"/>
        <v>94.44444444</v>
      </c>
      <c r="Y25" s="22">
        <f t="shared" si="7"/>
        <v>199</v>
      </c>
      <c r="Z25" s="15">
        <v>300.0</v>
      </c>
      <c r="AA25" s="22">
        <f t="shared" si="8"/>
        <v>-101</v>
      </c>
    </row>
    <row r="26" ht="15.75" customHeight="1">
      <c r="A26" s="23">
        <v>20.0</v>
      </c>
      <c r="B26" s="24" t="s">
        <v>58</v>
      </c>
      <c r="C26" s="25" t="s">
        <v>59</v>
      </c>
      <c r="D26" s="18">
        <v>28.0</v>
      </c>
      <c r="E26" s="26">
        <v>20.0</v>
      </c>
      <c r="F26" s="27">
        <f t="shared" si="1"/>
        <v>71.42857143</v>
      </c>
      <c r="G26" s="19">
        <v>19.0</v>
      </c>
      <c r="H26" s="19">
        <v>16.0</v>
      </c>
      <c r="I26" s="20">
        <f t="shared" si="2"/>
        <v>84.21052632</v>
      </c>
      <c r="J26" s="19">
        <v>26.0</v>
      </c>
      <c r="K26" s="26">
        <v>14.0</v>
      </c>
      <c r="L26" s="27">
        <f t="shared" si="3"/>
        <v>53.84615385</v>
      </c>
      <c r="M26" s="19">
        <v>33.0</v>
      </c>
      <c r="N26" s="26">
        <v>25.0</v>
      </c>
      <c r="O26" s="27">
        <f t="shared" si="4"/>
        <v>75.75757576</v>
      </c>
      <c r="P26" s="19">
        <v>37.0</v>
      </c>
      <c r="Q26" s="19">
        <v>26.0</v>
      </c>
      <c r="R26" s="27">
        <f t="shared" si="9"/>
        <v>70.27027027</v>
      </c>
      <c r="S26" s="19">
        <v>38.0</v>
      </c>
      <c r="T26" s="26">
        <v>29.0</v>
      </c>
      <c r="U26" s="27">
        <f t="shared" si="5"/>
        <v>76.31578947</v>
      </c>
      <c r="V26" s="19">
        <v>18.0</v>
      </c>
      <c r="W26" s="26">
        <v>11.0</v>
      </c>
      <c r="X26" s="29">
        <f t="shared" si="6"/>
        <v>61.11111111</v>
      </c>
      <c r="Y26" s="22">
        <f t="shared" si="7"/>
        <v>199</v>
      </c>
      <c r="Z26" s="15">
        <v>300.0</v>
      </c>
      <c r="AA26" s="22">
        <f t="shared" si="8"/>
        <v>-101</v>
      </c>
    </row>
    <row r="27" ht="15.75" customHeight="1">
      <c r="A27" s="23">
        <v>21.0</v>
      </c>
      <c r="B27" s="24" t="s">
        <v>60</v>
      </c>
      <c r="C27" s="25" t="s">
        <v>61</v>
      </c>
      <c r="D27" s="18">
        <v>28.0</v>
      </c>
      <c r="E27" s="26">
        <v>22.0</v>
      </c>
      <c r="F27" s="27">
        <f t="shared" si="1"/>
        <v>78.57142857</v>
      </c>
      <c r="G27" s="19">
        <v>19.0</v>
      </c>
      <c r="H27" s="19">
        <v>19.0</v>
      </c>
      <c r="I27" s="20">
        <f t="shared" si="2"/>
        <v>100</v>
      </c>
      <c r="J27" s="19">
        <v>26.0</v>
      </c>
      <c r="K27" s="26">
        <v>25.0</v>
      </c>
      <c r="L27" s="27">
        <f t="shared" si="3"/>
        <v>96.15384615</v>
      </c>
      <c r="M27" s="19">
        <v>33.0</v>
      </c>
      <c r="N27" s="26">
        <v>27.0</v>
      </c>
      <c r="O27" s="27">
        <f t="shared" si="4"/>
        <v>81.81818182</v>
      </c>
      <c r="P27" s="19">
        <v>37.0</v>
      </c>
      <c r="Q27" s="19">
        <v>29.0</v>
      </c>
      <c r="R27" s="27">
        <f t="shared" si="9"/>
        <v>78.37837838</v>
      </c>
      <c r="S27" s="19">
        <v>38.0</v>
      </c>
      <c r="T27" s="26">
        <v>35.0</v>
      </c>
      <c r="U27" s="27">
        <f t="shared" si="5"/>
        <v>92.10526316</v>
      </c>
      <c r="V27" s="19">
        <v>18.0</v>
      </c>
      <c r="W27" s="26">
        <v>14.0</v>
      </c>
      <c r="X27" s="29">
        <f t="shared" si="6"/>
        <v>77.77777778</v>
      </c>
      <c r="Y27" s="22">
        <f t="shared" si="7"/>
        <v>199</v>
      </c>
      <c r="Z27" s="15">
        <v>300.0</v>
      </c>
      <c r="AA27" s="22">
        <f t="shared" si="8"/>
        <v>-101</v>
      </c>
    </row>
    <row r="28" ht="15.75" customHeight="1">
      <c r="A28" s="23">
        <v>22.0</v>
      </c>
      <c r="B28" s="24" t="s">
        <v>62</v>
      </c>
      <c r="C28" s="25" t="s">
        <v>63</v>
      </c>
      <c r="D28" s="18">
        <v>28.0</v>
      </c>
      <c r="E28" s="26">
        <v>23.0</v>
      </c>
      <c r="F28" s="27">
        <f t="shared" si="1"/>
        <v>82.14285714</v>
      </c>
      <c r="G28" s="19">
        <v>19.0</v>
      </c>
      <c r="H28" s="19">
        <v>15.0</v>
      </c>
      <c r="I28" s="20">
        <f t="shared" si="2"/>
        <v>78.94736842</v>
      </c>
      <c r="J28" s="19">
        <v>26.0</v>
      </c>
      <c r="K28" s="26">
        <v>20.0</v>
      </c>
      <c r="L28" s="27">
        <f t="shared" si="3"/>
        <v>76.92307692</v>
      </c>
      <c r="M28" s="19">
        <v>33.0</v>
      </c>
      <c r="N28" s="26">
        <v>23.0</v>
      </c>
      <c r="O28" s="27">
        <f t="shared" si="4"/>
        <v>69.6969697</v>
      </c>
      <c r="P28" s="19">
        <v>37.0</v>
      </c>
      <c r="Q28" s="19">
        <v>29.0</v>
      </c>
      <c r="R28" s="27">
        <f t="shared" si="9"/>
        <v>78.37837838</v>
      </c>
      <c r="S28" s="19">
        <v>38.0</v>
      </c>
      <c r="T28" s="26">
        <v>33.0</v>
      </c>
      <c r="U28" s="27">
        <f t="shared" si="5"/>
        <v>86.84210526</v>
      </c>
      <c r="V28" s="19">
        <v>18.0</v>
      </c>
      <c r="W28" s="26">
        <v>15.0</v>
      </c>
      <c r="X28" s="29">
        <f t="shared" si="6"/>
        <v>83.33333333</v>
      </c>
      <c r="Y28" s="22">
        <f t="shared" si="7"/>
        <v>199</v>
      </c>
      <c r="Z28" s="15">
        <v>300.0</v>
      </c>
      <c r="AA28" s="22">
        <f t="shared" si="8"/>
        <v>-101</v>
      </c>
    </row>
    <row r="29" ht="15.75" customHeight="1">
      <c r="A29" s="23">
        <v>23.0</v>
      </c>
      <c r="B29" s="24" t="s">
        <v>64</v>
      </c>
      <c r="C29" s="25" t="s">
        <v>65</v>
      </c>
      <c r="D29" s="18">
        <v>28.0</v>
      </c>
      <c r="E29" s="26">
        <v>17.0</v>
      </c>
      <c r="F29" s="27">
        <f t="shared" si="1"/>
        <v>60.71428571</v>
      </c>
      <c r="G29" s="19">
        <v>19.0</v>
      </c>
      <c r="H29" s="19">
        <v>13.0</v>
      </c>
      <c r="I29" s="20">
        <f t="shared" si="2"/>
        <v>68.42105263</v>
      </c>
      <c r="J29" s="19">
        <v>26.0</v>
      </c>
      <c r="K29" s="26">
        <v>16.0</v>
      </c>
      <c r="L29" s="27">
        <f t="shared" si="3"/>
        <v>61.53846154</v>
      </c>
      <c r="M29" s="19">
        <v>33.0</v>
      </c>
      <c r="N29" s="26">
        <v>21.0</v>
      </c>
      <c r="O29" s="27">
        <f t="shared" si="4"/>
        <v>63.63636364</v>
      </c>
      <c r="P29" s="19">
        <v>37.0</v>
      </c>
      <c r="Q29" s="19">
        <v>17.0</v>
      </c>
      <c r="R29" s="27">
        <f t="shared" si="9"/>
        <v>45.94594595</v>
      </c>
      <c r="S29" s="19">
        <v>38.0</v>
      </c>
      <c r="T29" s="26">
        <v>28.0</v>
      </c>
      <c r="U29" s="27">
        <f t="shared" si="5"/>
        <v>73.68421053</v>
      </c>
      <c r="V29" s="19">
        <v>18.0</v>
      </c>
      <c r="W29" s="26">
        <v>13.0</v>
      </c>
      <c r="X29" s="29">
        <f t="shared" si="6"/>
        <v>72.22222222</v>
      </c>
      <c r="Y29" s="22">
        <f t="shared" si="7"/>
        <v>199</v>
      </c>
      <c r="Z29" s="15">
        <v>300.0</v>
      </c>
      <c r="AA29" s="22">
        <f t="shared" si="8"/>
        <v>-101</v>
      </c>
    </row>
    <row r="30" ht="15.75" customHeight="1">
      <c r="A30" s="23">
        <v>24.0</v>
      </c>
      <c r="B30" s="24" t="s">
        <v>66</v>
      </c>
      <c r="C30" s="25" t="s">
        <v>67</v>
      </c>
      <c r="D30" s="18">
        <v>28.0</v>
      </c>
      <c r="E30" s="26">
        <v>19.0</v>
      </c>
      <c r="F30" s="27">
        <f t="shared" si="1"/>
        <v>67.85714286</v>
      </c>
      <c r="G30" s="19">
        <v>19.0</v>
      </c>
      <c r="H30" s="19">
        <v>14.0</v>
      </c>
      <c r="I30" s="20">
        <f t="shared" si="2"/>
        <v>73.68421053</v>
      </c>
      <c r="J30" s="19">
        <v>26.0</v>
      </c>
      <c r="K30" s="26">
        <v>19.0</v>
      </c>
      <c r="L30" s="27">
        <f t="shared" si="3"/>
        <v>73.07692308</v>
      </c>
      <c r="M30" s="19">
        <v>33.0</v>
      </c>
      <c r="N30" s="26">
        <v>26.0</v>
      </c>
      <c r="O30" s="27">
        <f t="shared" si="4"/>
        <v>78.78787879</v>
      </c>
      <c r="P30" s="19">
        <v>37.0</v>
      </c>
      <c r="Q30" s="19">
        <v>24.0</v>
      </c>
      <c r="R30" s="27">
        <f t="shared" si="9"/>
        <v>64.86486486</v>
      </c>
      <c r="S30" s="19">
        <v>38.0</v>
      </c>
      <c r="T30" s="26">
        <v>29.0</v>
      </c>
      <c r="U30" s="27">
        <f t="shared" si="5"/>
        <v>76.31578947</v>
      </c>
      <c r="V30" s="19">
        <v>18.0</v>
      </c>
      <c r="W30" s="26">
        <v>14.0</v>
      </c>
      <c r="X30" s="29">
        <f t="shared" si="6"/>
        <v>77.77777778</v>
      </c>
      <c r="Y30" s="22">
        <f t="shared" si="7"/>
        <v>199</v>
      </c>
      <c r="Z30" s="15">
        <v>300.0</v>
      </c>
      <c r="AA30" s="22">
        <f t="shared" si="8"/>
        <v>-101</v>
      </c>
    </row>
    <row r="31" ht="15.75" customHeight="1">
      <c r="A31" s="23">
        <v>25.0</v>
      </c>
      <c r="B31" s="24" t="s">
        <v>68</v>
      </c>
      <c r="C31" s="25" t="s">
        <v>69</v>
      </c>
      <c r="D31" s="18">
        <v>28.0</v>
      </c>
      <c r="E31" s="26">
        <v>15.0</v>
      </c>
      <c r="F31" s="27">
        <f t="shared" si="1"/>
        <v>53.57142857</v>
      </c>
      <c r="G31" s="19">
        <v>19.0</v>
      </c>
      <c r="H31" s="19">
        <v>13.0</v>
      </c>
      <c r="I31" s="20">
        <f t="shared" si="2"/>
        <v>68.42105263</v>
      </c>
      <c r="J31" s="19">
        <v>26.0</v>
      </c>
      <c r="K31" s="26">
        <v>22.0</v>
      </c>
      <c r="L31" s="27">
        <f t="shared" si="3"/>
        <v>84.61538462</v>
      </c>
      <c r="M31" s="19">
        <v>33.0</v>
      </c>
      <c r="N31" s="26">
        <v>27.0</v>
      </c>
      <c r="O31" s="27">
        <f t="shared" si="4"/>
        <v>81.81818182</v>
      </c>
      <c r="P31" s="19">
        <v>37.0</v>
      </c>
      <c r="Q31" s="19">
        <v>18.0</v>
      </c>
      <c r="R31" s="27">
        <f t="shared" si="9"/>
        <v>48.64864865</v>
      </c>
      <c r="S31" s="19">
        <v>38.0</v>
      </c>
      <c r="T31" s="26">
        <v>35.0</v>
      </c>
      <c r="U31" s="27">
        <f t="shared" si="5"/>
        <v>92.10526316</v>
      </c>
      <c r="V31" s="19">
        <v>18.0</v>
      </c>
      <c r="W31" s="26">
        <v>15.0</v>
      </c>
      <c r="X31" s="29">
        <f t="shared" si="6"/>
        <v>83.33333333</v>
      </c>
      <c r="Y31" s="22">
        <f t="shared" si="7"/>
        <v>199</v>
      </c>
      <c r="Z31" s="15">
        <v>300.0</v>
      </c>
      <c r="AA31" s="22">
        <f t="shared" si="8"/>
        <v>-101</v>
      </c>
    </row>
    <row r="32" ht="15.75" customHeight="1">
      <c r="A32" s="23">
        <v>26.0</v>
      </c>
      <c r="B32" s="24" t="s">
        <v>70</v>
      </c>
      <c r="C32" s="25" t="s">
        <v>71</v>
      </c>
      <c r="D32" s="18">
        <v>28.0</v>
      </c>
      <c r="E32" s="26">
        <v>21.0</v>
      </c>
      <c r="F32" s="27">
        <f t="shared" si="1"/>
        <v>75</v>
      </c>
      <c r="G32" s="19">
        <v>19.0</v>
      </c>
      <c r="H32" s="19">
        <v>18.0</v>
      </c>
      <c r="I32" s="20">
        <f t="shared" si="2"/>
        <v>94.73684211</v>
      </c>
      <c r="J32" s="19">
        <v>26.0</v>
      </c>
      <c r="K32" s="26">
        <v>23.0</v>
      </c>
      <c r="L32" s="27">
        <f t="shared" si="3"/>
        <v>88.46153846</v>
      </c>
      <c r="M32" s="19">
        <v>33.0</v>
      </c>
      <c r="N32" s="26">
        <v>26.0</v>
      </c>
      <c r="O32" s="27">
        <f t="shared" si="4"/>
        <v>78.78787879</v>
      </c>
      <c r="P32" s="19">
        <v>37.0</v>
      </c>
      <c r="Q32" s="19">
        <v>27.0</v>
      </c>
      <c r="R32" s="27">
        <f t="shared" si="9"/>
        <v>72.97297297</v>
      </c>
      <c r="S32" s="19">
        <v>38.0</v>
      </c>
      <c r="T32" s="26">
        <v>30.0</v>
      </c>
      <c r="U32" s="27">
        <f t="shared" si="5"/>
        <v>78.94736842</v>
      </c>
      <c r="V32" s="19">
        <v>18.0</v>
      </c>
      <c r="W32" s="26">
        <v>14.0</v>
      </c>
      <c r="X32" s="29">
        <f t="shared" si="6"/>
        <v>77.77777778</v>
      </c>
      <c r="Y32" s="22">
        <f t="shared" si="7"/>
        <v>199</v>
      </c>
      <c r="Z32" s="15">
        <v>300.0</v>
      </c>
      <c r="AA32" s="22">
        <f t="shared" si="8"/>
        <v>-101</v>
      </c>
    </row>
    <row r="33" ht="15.75" customHeight="1">
      <c r="A33" s="23">
        <v>27.0</v>
      </c>
      <c r="B33" s="24" t="s">
        <v>72</v>
      </c>
      <c r="C33" s="25" t="s">
        <v>73</v>
      </c>
      <c r="D33" s="18">
        <v>28.0</v>
      </c>
      <c r="E33" s="26">
        <v>21.0</v>
      </c>
      <c r="F33" s="27">
        <f t="shared" si="1"/>
        <v>75</v>
      </c>
      <c r="G33" s="19">
        <v>19.0</v>
      </c>
      <c r="H33" s="19">
        <v>15.0</v>
      </c>
      <c r="I33" s="20">
        <f t="shared" si="2"/>
        <v>78.94736842</v>
      </c>
      <c r="J33" s="19">
        <v>26.0</v>
      </c>
      <c r="K33" s="26">
        <v>24.0</v>
      </c>
      <c r="L33" s="27">
        <f t="shared" si="3"/>
        <v>92.30769231</v>
      </c>
      <c r="M33" s="19">
        <v>33.0</v>
      </c>
      <c r="N33" s="26">
        <v>31.0</v>
      </c>
      <c r="O33" s="27">
        <f t="shared" si="4"/>
        <v>93.93939394</v>
      </c>
      <c r="P33" s="19">
        <v>37.0</v>
      </c>
      <c r="Q33" s="19">
        <v>33.0</v>
      </c>
      <c r="R33" s="27">
        <f t="shared" si="9"/>
        <v>89.18918919</v>
      </c>
      <c r="S33" s="19">
        <v>38.0</v>
      </c>
      <c r="T33" s="26">
        <v>37.0</v>
      </c>
      <c r="U33" s="27">
        <f t="shared" si="5"/>
        <v>97.36842105</v>
      </c>
      <c r="V33" s="19">
        <v>18.0</v>
      </c>
      <c r="W33" s="26">
        <v>14.0</v>
      </c>
      <c r="X33" s="29">
        <f t="shared" si="6"/>
        <v>77.77777778</v>
      </c>
      <c r="Y33" s="22">
        <f t="shared" si="7"/>
        <v>199</v>
      </c>
      <c r="Z33" s="15">
        <v>300.0</v>
      </c>
      <c r="AA33" s="22">
        <f t="shared" si="8"/>
        <v>-101</v>
      </c>
    </row>
    <row r="34" ht="15.75" customHeight="1">
      <c r="A34" s="23">
        <v>28.0</v>
      </c>
      <c r="B34" s="24" t="s">
        <v>74</v>
      </c>
      <c r="C34" s="25" t="s">
        <v>75</v>
      </c>
      <c r="D34" s="18">
        <v>28.0</v>
      </c>
      <c r="E34" s="26">
        <v>22.0</v>
      </c>
      <c r="F34" s="27">
        <f t="shared" si="1"/>
        <v>78.57142857</v>
      </c>
      <c r="G34" s="19">
        <v>19.0</v>
      </c>
      <c r="H34" s="19">
        <v>18.0</v>
      </c>
      <c r="I34" s="20">
        <f t="shared" si="2"/>
        <v>94.73684211</v>
      </c>
      <c r="J34" s="19">
        <v>26.0</v>
      </c>
      <c r="K34" s="26">
        <v>26.0</v>
      </c>
      <c r="L34" s="27">
        <f t="shared" si="3"/>
        <v>100</v>
      </c>
      <c r="M34" s="19">
        <v>33.0</v>
      </c>
      <c r="N34" s="26">
        <v>32.0</v>
      </c>
      <c r="O34" s="27">
        <f t="shared" si="4"/>
        <v>96.96969697</v>
      </c>
      <c r="P34" s="19">
        <v>37.0</v>
      </c>
      <c r="Q34" s="19">
        <v>32.0</v>
      </c>
      <c r="R34" s="27">
        <f t="shared" si="9"/>
        <v>86.48648649</v>
      </c>
      <c r="S34" s="19">
        <v>38.0</v>
      </c>
      <c r="T34" s="26">
        <v>38.0</v>
      </c>
      <c r="U34" s="27">
        <f t="shared" si="5"/>
        <v>100</v>
      </c>
      <c r="V34" s="19">
        <v>18.0</v>
      </c>
      <c r="W34" s="26">
        <v>15.0</v>
      </c>
      <c r="X34" s="29">
        <f t="shared" si="6"/>
        <v>83.33333333</v>
      </c>
      <c r="Y34" s="22">
        <f t="shared" si="7"/>
        <v>199</v>
      </c>
      <c r="Z34" s="15">
        <v>300.0</v>
      </c>
      <c r="AA34" s="22">
        <f t="shared" si="8"/>
        <v>-101</v>
      </c>
    </row>
    <row r="35" ht="15.75" customHeight="1">
      <c r="A35" s="23">
        <v>29.0</v>
      </c>
      <c r="B35" s="24" t="s">
        <v>76</v>
      </c>
      <c r="C35" s="25" t="s">
        <v>77</v>
      </c>
      <c r="D35" s="18">
        <v>28.0</v>
      </c>
      <c r="E35" s="26">
        <v>16.0</v>
      </c>
      <c r="F35" s="27">
        <f t="shared" si="1"/>
        <v>57.14285714</v>
      </c>
      <c r="G35" s="19">
        <v>19.0</v>
      </c>
      <c r="H35" s="19">
        <v>15.0</v>
      </c>
      <c r="I35" s="20">
        <f t="shared" si="2"/>
        <v>78.94736842</v>
      </c>
      <c r="J35" s="19">
        <v>26.0</v>
      </c>
      <c r="K35" s="26">
        <v>21.0</v>
      </c>
      <c r="L35" s="27">
        <f t="shared" si="3"/>
        <v>80.76923077</v>
      </c>
      <c r="M35" s="19">
        <v>33.0</v>
      </c>
      <c r="N35" s="26">
        <v>26.0</v>
      </c>
      <c r="O35" s="27">
        <f t="shared" si="4"/>
        <v>78.78787879</v>
      </c>
      <c r="P35" s="19">
        <v>37.0</v>
      </c>
      <c r="Q35" s="19">
        <v>26.0</v>
      </c>
      <c r="R35" s="27">
        <f t="shared" si="9"/>
        <v>70.27027027</v>
      </c>
      <c r="S35" s="19">
        <v>38.0</v>
      </c>
      <c r="T35" s="26">
        <v>22.0</v>
      </c>
      <c r="U35" s="27">
        <f t="shared" si="5"/>
        <v>57.89473684</v>
      </c>
      <c r="V35" s="19">
        <v>18.0</v>
      </c>
      <c r="W35" s="26">
        <v>15.0</v>
      </c>
      <c r="X35" s="29">
        <f t="shared" si="6"/>
        <v>83.33333333</v>
      </c>
      <c r="Y35" s="22">
        <f t="shared" si="7"/>
        <v>199</v>
      </c>
      <c r="Z35" s="15">
        <v>300.0</v>
      </c>
      <c r="AA35" s="22">
        <f t="shared" si="8"/>
        <v>-101</v>
      </c>
    </row>
    <row r="36" ht="15.75" customHeight="1">
      <c r="A36" s="23">
        <v>30.0</v>
      </c>
      <c r="B36" s="24" t="s">
        <v>78</v>
      </c>
      <c r="C36" s="25" t="s">
        <v>79</v>
      </c>
      <c r="D36" s="18">
        <v>28.0</v>
      </c>
      <c r="E36" s="26">
        <v>19.0</v>
      </c>
      <c r="F36" s="27">
        <f t="shared" si="1"/>
        <v>67.85714286</v>
      </c>
      <c r="G36" s="19">
        <v>19.0</v>
      </c>
      <c r="H36" s="19">
        <v>16.0</v>
      </c>
      <c r="I36" s="20">
        <f t="shared" si="2"/>
        <v>84.21052632</v>
      </c>
      <c r="J36" s="19">
        <v>26.0</v>
      </c>
      <c r="K36" s="26">
        <v>24.0</v>
      </c>
      <c r="L36" s="27">
        <f t="shared" si="3"/>
        <v>92.30769231</v>
      </c>
      <c r="M36" s="19">
        <v>33.0</v>
      </c>
      <c r="N36" s="26">
        <v>29.0</v>
      </c>
      <c r="O36" s="27">
        <f t="shared" si="4"/>
        <v>87.87878788</v>
      </c>
      <c r="P36" s="19">
        <v>37.0</v>
      </c>
      <c r="Q36" s="19">
        <v>31.0</v>
      </c>
      <c r="R36" s="27">
        <f t="shared" si="9"/>
        <v>83.78378378</v>
      </c>
      <c r="S36" s="19">
        <v>38.0</v>
      </c>
      <c r="T36" s="26">
        <v>32.0</v>
      </c>
      <c r="U36" s="27">
        <f t="shared" si="5"/>
        <v>84.21052632</v>
      </c>
      <c r="V36" s="19">
        <v>18.0</v>
      </c>
      <c r="W36" s="26">
        <v>17.0</v>
      </c>
      <c r="X36" s="29">
        <f t="shared" si="6"/>
        <v>94.44444444</v>
      </c>
      <c r="Y36" s="22">
        <f t="shared" si="7"/>
        <v>199</v>
      </c>
      <c r="Z36" s="15">
        <v>300.0</v>
      </c>
      <c r="AA36" s="22">
        <f t="shared" si="8"/>
        <v>-101</v>
      </c>
    </row>
    <row r="37" ht="15.75" customHeight="1">
      <c r="A37" s="23">
        <v>31.0</v>
      </c>
      <c r="B37" s="24" t="s">
        <v>80</v>
      </c>
      <c r="C37" s="25" t="s">
        <v>81</v>
      </c>
      <c r="D37" s="18">
        <v>28.0</v>
      </c>
      <c r="E37" s="26">
        <v>17.0</v>
      </c>
      <c r="F37" s="27">
        <f t="shared" si="1"/>
        <v>60.71428571</v>
      </c>
      <c r="G37" s="19">
        <v>19.0</v>
      </c>
      <c r="H37" s="19">
        <v>17.0</v>
      </c>
      <c r="I37" s="20">
        <f t="shared" si="2"/>
        <v>89.47368421</v>
      </c>
      <c r="J37" s="19">
        <v>26.0</v>
      </c>
      <c r="K37" s="26">
        <v>24.0</v>
      </c>
      <c r="L37" s="27">
        <f t="shared" si="3"/>
        <v>92.30769231</v>
      </c>
      <c r="M37" s="19">
        <v>33.0</v>
      </c>
      <c r="N37" s="26">
        <v>29.0</v>
      </c>
      <c r="O37" s="27">
        <f t="shared" si="4"/>
        <v>87.87878788</v>
      </c>
      <c r="P37" s="19">
        <v>37.0</v>
      </c>
      <c r="Q37" s="19">
        <v>30.0</v>
      </c>
      <c r="R37" s="27">
        <f t="shared" si="9"/>
        <v>81.08108108</v>
      </c>
      <c r="S37" s="19">
        <v>38.0</v>
      </c>
      <c r="T37" s="26">
        <v>37.0</v>
      </c>
      <c r="U37" s="27">
        <f t="shared" si="5"/>
        <v>97.36842105</v>
      </c>
      <c r="V37" s="19">
        <v>18.0</v>
      </c>
      <c r="W37" s="26">
        <v>16.0</v>
      </c>
      <c r="X37" s="29">
        <f t="shared" si="6"/>
        <v>88.88888889</v>
      </c>
      <c r="Y37" s="22">
        <f t="shared" si="7"/>
        <v>199</v>
      </c>
      <c r="Z37" s="15">
        <v>300.0</v>
      </c>
      <c r="AA37" s="22">
        <f t="shared" si="8"/>
        <v>-101</v>
      </c>
    </row>
    <row r="38" ht="15.75" customHeight="1">
      <c r="A38" s="23">
        <v>32.0</v>
      </c>
      <c r="B38" s="24" t="s">
        <v>82</v>
      </c>
      <c r="C38" s="25" t="s">
        <v>83</v>
      </c>
      <c r="D38" s="18">
        <v>28.0</v>
      </c>
      <c r="E38" s="26">
        <v>20.0</v>
      </c>
      <c r="F38" s="27">
        <f t="shared" si="1"/>
        <v>71.42857143</v>
      </c>
      <c r="G38" s="19">
        <v>19.0</v>
      </c>
      <c r="H38" s="19">
        <v>16.0</v>
      </c>
      <c r="I38" s="20">
        <f t="shared" si="2"/>
        <v>84.21052632</v>
      </c>
      <c r="J38" s="19">
        <v>26.0</v>
      </c>
      <c r="K38" s="26">
        <v>23.0</v>
      </c>
      <c r="L38" s="27">
        <f t="shared" si="3"/>
        <v>88.46153846</v>
      </c>
      <c r="M38" s="19">
        <v>33.0</v>
      </c>
      <c r="N38" s="26">
        <v>28.0</v>
      </c>
      <c r="O38" s="27">
        <f t="shared" si="4"/>
        <v>84.84848485</v>
      </c>
      <c r="P38" s="19">
        <v>37.0</v>
      </c>
      <c r="Q38" s="19">
        <v>31.0</v>
      </c>
      <c r="R38" s="27">
        <f t="shared" si="9"/>
        <v>83.78378378</v>
      </c>
      <c r="S38" s="19">
        <v>38.0</v>
      </c>
      <c r="T38" s="26">
        <v>33.0</v>
      </c>
      <c r="U38" s="27">
        <f t="shared" si="5"/>
        <v>86.84210526</v>
      </c>
      <c r="V38" s="19">
        <v>18.0</v>
      </c>
      <c r="W38" s="26">
        <v>16.0</v>
      </c>
      <c r="X38" s="29">
        <f t="shared" si="6"/>
        <v>88.88888889</v>
      </c>
      <c r="Y38" s="22">
        <f t="shared" si="7"/>
        <v>199</v>
      </c>
      <c r="Z38" s="15">
        <v>300.0</v>
      </c>
      <c r="AA38" s="22">
        <f t="shared" si="8"/>
        <v>-101</v>
      </c>
    </row>
    <row r="39" ht="15.75" customHeight="1">
      <c r="A39" s="23">
        <v>33.0</v>
      </c>
      <c r="B39" s="24" t="s">
        <v>84</v>
      </c>
      <c r="C39" s="25" t="s">
        <v>85</v>
      </c>
      <c r="D39" s="18">
        <v>28.0</v>
      </c>
      <c r="E39" s="26">
        <v>23.0</v>
      </c>
      <c r="F39" s="27">
        <f t="shared" si="1"/>
        <v>82.14285714</v>
      </c>
      <c r="G39" s="19">
        <v>19.0</v>
      </c>
      <c r="H39" s="19">
        <v>15.0</v>
      </c>
      <c r="I39" s="20">
        <f t="shared" si="2"/>
        <v>78.94736842</v>
      </c>
      <c r="J39" s="19">
        <v>26.0</v>
      </c>
      <c r="K39" s="26">
        <v>18.0</v>
      </c>
      <c r="L39" s="27">
        <f t="shared" si="3"/>
        <v>69.23076923</v>
      </c>
      <c r="M39" s="19">
        <v>33.0</v>
      </c>
      <c r="N39" s="26">
        <v>27.0</v>
      </c>
      <c r="O39" s="27">
        <f t="shared" si="4"/>
        <v>81.81818182</v>
      </c>
      <c r="P39" s="19">
        <v>37.0</v>
      </c>
      <c r="Q39" s="19">
        <v>29.0</v>
      </c>
      <c r="R39" s="27">
        <f t="shared" si="9"/>
        <v>78.37837838</v>
      </c>
      <c r="S39" s="19">
        <v>38.0</v>
      </c>
      <c r="T39" s="26">
        <v>33.0</v>
      </c>
      <c r="U39" s="27">
        <f t="shared" si="5"/>
        <v>86.84210526</v>
      </c>
      <c r="V39" s="19">
        <v>18.0</v>
      </c>
      <c r="W39" s="26">
        <v>18.0</v>
      </c>
      <c r="X39" s="29">
        <f t="shared" si="6"/>
        <v>100</v>
      </c>
      <c r="Y39" s="22">
        <f t="shared" si="7"/>
        <v>199</v>
      </c>
      <c r="Z39" s="15">
        <v>300.0</v>
      </c>
      <c r="AA39" s="22">
        <f t="shared" si="8"/>
        <v>-101</v>
      </c>
    </row>
    <row r="40" ht="15.75" customHeight="1">
      <c r="A40" s="23">
        <v>34.0</v>
      </c>
      <c r="B40" s="24" t="s">
        <v>86</v>
      </c>
      <c r="C40" s="25" t="s">
        <v>87</v>
      </c>
      <c r="D40" s="18">
        <v>28.0</v>
      </c>
      <c r="E40" s="26">
        <v>24.0</v>
      </c>
      <c r="F40" s="27">
        <f t="shared" si="1"/>
        <v>85.71428571</v>
      </c>
      <c r="G40" s="19">
        <v>19.0</v>
      </c>
      <c r="H40" s="19">
        <v>15.0</v>
      </c>
      <c r="I40" s="20">
        <f t="shared" si="2"/>
        <v>78.94736842</v>
      </c>
      <c r="J40" s="19">
        <v>26.0</v>
      </c>
      <c r="K40" s="26">
        <v>21.0</v>
      </c>
      <c r="L40" s="27">
        <f t="shared" si="3"/>
        <v>80.76923077</v>
      </c>
      <c r="M40" s="19">
        <v>33.0</v>
      </c>
      <c r="N40" s="26">
        <v>28.0</v>
      </c>
      <c r="O40" s="27">
        <f t="shared" si="4"/>
        <v>84.84848485</v>
      </c>
      <c r="P40" s="19">
        <v>37.0</v>
      </c>
      <c r="Q40" s="19">
        <v>32.0</v>
      </c>
      <c r="R40" s="27">
        <f t="shared" si="9"/>
        <v>86.48648649</v>
      </c>
      <c r="S40" s="19">
        <v>38.0</v>
      </c>
      <c r="T40" s="26">
        <v>33.0</v>
      </c>
      <c r="U40" s="27">
        <f t="shared" si="5"/>
        <v>86.84210526</v>
      </c>
      <c r="V40" s="19">
        <v>18.0</v>
      </c>
      <c r="W40" s="26">
        <v>18.0</v>
      </c>
      <c r="X40" s="29">
        <f t="shared" si="6"/>
        <v>100</v>
      </c>
      <c r="Y40" s="22">
        <f t="shared" si="7"/>
        <v>199</v>
      </c>
      <c r="Z40" s="15">
        <v>300.0</v>
      </c>
      <c r="AA40" s="22">
        <f t="shared" si="8"/>
        <v>-101</v>
      </c>
    </row>
    <row r="41" ht="15.75" customHeight="1">
      <c r="A41" s="23">
        <v>35.0</v>
      </c>
      <c r="B41" s="24" t="s">
        <v>88</v>
      </c>
      <c r="C41" s="25" t="s">
        <v>89</v>
      </c>
      <c r="D41" s="18">
        <v>28.0</v>
      </c>
      <c r="E41" s="26">
        <v>19.0</v>
      </c>
      <c r="F41" s="27">
        <f t="shared" si="1"/>
        <v>67.85714286</v>
      </c>
      <c r="G41" s="19">
        <v>19.0</v>
      </c>
      <c r="H41" s="19">
        <v>15.0</v>
      </c>
      <c r="I41" s="20">
        <f t="shared" si="2"/>
        <v>78.94736842</v>
      </c>
      <c r="J41" s="19">
        <v>26.0</v>
      </c>
      <c r="K41" s="26">
        <v>25.0</v>
      </c>
      <c r="L41" s="27">
        <f t="shared" si="3"/>
        <v>96.15384615</v>
      </c>
      <c r="M41" s="19">
        <v>33.0</v>
      </c>
      <c r="N41" s="26">
        <v>28.0</v>
      </c>
      <c r="O41" s="27">
        <f t="shared" si="4"/>
        <v>84.84848485</v>
      </c>
      <c r="P41" s="19">
        <v>37.0</v>
      </c>
      <c r="Q41" s="19">
        <v>32.0</v>
      </c>
      <c r="R41" s="27">
        <f t="shared" si="9"/>
        <v>86.48648649</v>
      </c>
      <c r="S41" s="19">
        <v>38.0</v>
      </c>
      <c r="T41" s="26">
        <v>36.0</v>
      </c>
      <c r="U41" s="27">
        <f t="shared" si="5"/>
        <v>94.73684211</v>
      </c>
      <c r="V41" s="19">
        <v>18.0</v>
      </c>
      <c r="W41" s="26">
        <v>15.0</v>
      </c>
      <c r="X41" s="29">
        <f t="shared" si="6"/>
        <v>83.33333333</v>
      </c>
      <c r="Y41" s="22">
        <f t="shared" si="7"/>
        <v>199</v>
      </c>
      <c r="Z41" s="15">
        <v>300.0</v>
      </c>
      <c r="AA41" s="22">
        <f t="shared" si="8"/>
        <v>-101</v>
      </c>
    </row>
    <row r="42" ht="15.75" customHeight="1">
      <c r="A42" s="23">
        <v>36.0</v>
      </c>
      <c r="B42" s="24" t="s">
        <v>90</v>
      </c>
      <c r="C42" s="25" t="s">
        <v>91</v>
      </c>
      <c r="D42" s="18">
        <v>28.0</v>
      </c>
      <c r="E42" s="26">
        <v>16.0</v>
      </c>
      <c r="F42" s="27">
        <f t="shared" si="1"/>
        <v>57.14285714</v>
      </c>
      <c r="G42" s="19">
        <v>19.0</v>
      </c>
      <c r="H42" s="19">
        <v>15.0</v>
      </c>
      <c r="I42" s="20">
        <f t="shared" si="2"/>
        <v>78.94736842</v>
      </c>
      <c r="J42" s="19">
        <v>26.0</v>
      </c>
      <c r="K42" s="26">
        <v>12.0</v>
      </c>
      <c r="L42" s="27">
        <f t="shared" si="3"/>
        <v>46.15384615</v>
      </c>
      <c r="M42" s="19">
        <v>33.0</v>
      </c>
      <c r="N42" s="26">
        <v>12.0</v>
      </c>
      <c r="O42" s="27">
        <f t="shared" si="4"/>
        <v>36.36363636</v>
      </c>
      <c r="P42" s="19">
        <v>37.0</v>
      </c>
      <c r="Q42" s="19">
        <v>22.0</v>
      </c>
      <c r="R42" s="27">
        <f t="shared" si="9"/>
        <v>59.45945946</v>
      </c>
      <c r="S42" s="19">
        <v>38.0</v>
      </c>
      <c r="T42" s="26">
        <v>29.0</v>
      </c>
      <c r="U42" s="27">
        <f t="shared" si="5"/>
        <v>76.31578947</v>
      </c>
      <c r="V42" s="19">
        <v>18.0</v>
      </c>
      <c r="W42" s="26">
        <v>15.0</v>
      </c>
      <c r="X42" s="29">
        <f t="shared" si="6"/>
        <v>83.33333333</v>
      </c>
      <c r="Y42" s="22">
        <f t="shared" si="7"/>
        <v>199</v>
      </c>
      <c r="Z42" s="15">
        <v>300.0</v>
      </c>
      <c r="AA42" s="22">
        <f t="shared" si="8"/>
        <v>-101</v>
      </c>
    </row>
    <row r="43" ht="15.75" customHeight="1">
      <c r="A43" s="23">
        <v>37.0</v>
      </c>
      <c r="B43" s="24" t="s">
        <v>92</v>
      </c>
      <c r="C43" s="25" t="s">
        <v>93</v>
      </c>
      <c r="D43" s="18">
        <v>28.0</v>
      </c>
      <c r="E43" s="26">
        <v>16.0</v>
      </c>
      <c r="F43" s="27">
        <f t="shared" si="1"/>
        <v>57.14285714</v>
      </c>
      <c r="G43" s="19">
        <v>19.0</v>
      </c>
      <c r="H43" s="19">
        <v>14.0</v>
      </c>
      <c r="I43" s="20">
        <f t="shared" si="2"/>
        <v>73.68421053</v>
      </c>
      <c r="J43" s="19">
        <v>26.0</v>
      </c>
      <c r="K43" s="26">
        <v>25.0</v>
      </c>
      <c r="L43" s="27">
        <f t="shared" si="3"/>
        <v>96.15384615</v>
      </c>
      <c r="M43" s="19">
        <v>33.0</v>
      </c>
      <c r="N43" s="26">
        <v>28.0</v>
      </c>
      <c r="O43" s="27">
        <f t="shared" si="4"/>
        <v>84.84848485</v>
      </c>
      <c r="P43" s="19">
        <v>37.0</v>
      </c>
      <c r="Q43" s="19">
        <v>28.0</v>
      </c>
      <c r="R43" s="27">
        <f t="shared" si="9"/>
        <v>75.67567568</v>
      </c>
      <c r="S43" s="19">
        <v>38.0</v>
      </c>
      <c r="T43" s="26">
        <v>31.0</v>
      </c>
      <c r="U43" s="27">
        <f t="shared" si="5"/>
        <v>81.57894737</v>
      </c>
      <c r="V43" s="19">
        <v>18.0</v>
      </c>
      <c r="W43" s="26">
        <v>17.0</v>
      </c>
      <c r="X43" s="29">
        <f t="shared" si="6"/>
        <v>94.44444444</v>
      </c>
      <c r="Y43" s="22">
        <f t="shared" si="7"/>
        <v>199</v>
      </c>
      <c r="Z43" s="15">
        <v>300.0</v>
      </c>
      <c r="AA43" s="22">
        <f t="shared" si="8"/>
        <v>-101</v>
      </c>
    </row>
    <row r="44" ht="15.75" customHeight="1">
      <c r="A44" s="23">
        <v>38.0</v>
      </c>
      <c r="B44" s="24" t="s">
        <v>94</v>
      </c>
      <c r="C44" s="30" t="s">
        <v>95</v>
      </c>
      <c r="D44" s="18">
        <v>28.0</v>
      </c>
      <c r="E44" s="26">
        <v>20.0</v>
      </c>
      <c r="F44" s="27">
        <f t="shared" si="1"/>
        <v>71.42857143</v>
      </c>
      <c r="G44" s="19">
        <v>19.0</v>
      </c>
      <c r="H44" s="19">
        <v>14.0</v>
      </c>
      <c r="I44" s="20">
        <f t="shared" si="2"/>
        <v>73.68421053</v>
      </c>
      <c r="J44" s="19">
        <v>26.0</v>
      </c>
      <c r="K44" s="26">
        <v>18.0</v>
      </c>
      <c r="L44" s="27">
        <f t="shared" si="3"/>
        <v>69.23076923</v>
      </c>
      <c r="M44" s="19">
        <v>33.0</v>
      </c>
      <c r="N44" s="26">
        <v>24.0</v>
      </c>
      <c r="O44" s="27">
        <f t="shared" si="4"/>
        <v>72.72727273</v>
      </c>
      <c r="P44" s="19">
        <v>37.0</v>
      </c>
      <c r="Q44" s="19">
        <v>24.0</v>
      </c>
      <c r="R44" s="27">
        <f t="shared" si="9"/>
        <v>64.86486486</v>
      </c>
      <c r="S44" s="19">
        <v>38.0</v>
      </c>
      <c r="T44" s="26">
        <v>32.0</v>
      </c>
      <c r="U44" s="27">
        <f t="shared" si="5"/>
        <v>84.21052632</v>
      </c>
      <c r="V44" s="19">
        <v>18.0</v>
      </c>
      <c r="W44" s="26">
        <v>16.0</v>
      </c>
      <c r="X44" s="29">
        <f t="shared" si="6"/>
        <v>88.88888889</v>
      </c>
      <c r="Y44" s="22">
        <f t="shared" si="7"/>
        <v>199</v>
      </c>
      <c r="Z44" s="15">
        <v>300.0</v>
      </c>
      <c r="AA44" s="22">
        <f t="shared" si="8"/>
        <v>-101</v>
      </c>
    </row>
    <row r="45" ht="15.75" customHeight="1">
      <c r="A45" s="23">
        <v>39.0</v>
      </c>
      <c r="B45" s="24" t="s">
        <v>96</v>
      </c>
      <c r="C45" s="30" t="s">
        <v>97</v>
      </c>
      <c r="D45" s="18">
        <v>28.0</v>
      </c>
      <c r="E45" s="26">
        <v>19.0</v>
      </c>
      <c r="F45" s="27">
        <f t="shared" si="1"/>
        <v>67.85714286</v>
      </c>
      <c r="G45" s="19">
        <v>19.0</v>
      </c>
      <c r="H45" s="19">
        <v>14.0</v>
      </c>
      <c r="I45" s="20">
        <f t="shared" si="2"/>
        <v>73.68421053</v>
      </c>
      <c r="J45" s="19">
        <v>26.0</v>
      </c>
      <c r="K45" s="26">
        <v>23.0</v>
      </c>
      <c r="L45" s="27">
        <f t="shared" si="3"/>
        <v>88.46153846</v>
      </c>
      <c r="M45" s="19">
        <v>33.0</v>
      </c>
      <c r="N45" s="26">
        <v>31.0</v>
      </c>
      <c r="O45" s="27">
        <f t="shared" si="4"/>
        <v>93.93939394</v>
      </c>
      <c r="P45" s="19">
        <v>37.0</v>
      </c>
      <c r="Q45" s="19">
        <v>35.0</v>
      </c>
      <c r="R45" s="27">
        <f t="shared" si="9"/>
        <v>94.59459459</v>
      </c>
      <c r="S45" s="19">
        <v>38.0</v>
      </c>
      <c r="T45" s="26">
        <v>35.0</v>
      </c>
      <c r="U45" s="27">
        <f t="shared" si="5"/>
        <v>92.10526316</v>
      </c>
      <c r="V45" s="19">
        <v>18.0</v>
      </c>
      <c r="W45" s="26">
        <v>12.0</v>
      </c>
      <c r="X45" s="29">
        <f t="shared" si="6"/>
        <v>66.66666667</v>
      </c>
      <c r="Y45" s="22">
        <f t="shared" si="7"/>
        <v>199</v>
      </c>
      <c r="Z45" s="15">
        <v>300.0</v>
      </c>
      <c r="AA45" s="22">
        <f t="shared" si="8"/>
        <v>-101</v>
      </c>
    </row>
    <row r="46" ht="15.75" customHeight="1">
      <c r="A46" s="23">
        <v>40.0</v>
      </c>
      <c r="B46" s="24" t="s">
        <v>98</v>
      </c>
      <c r="C46" s="30" t="s">
        <v>99</v>
      </c>
      <c r="D46" s="18">
        <v>28.0</v>
      </c>
      <c r="E46" s="26">
        <v>21.0</v>
      </c>
      <c r="F46" s="27">
        <f t="shared" si="1"/>
        <v>75</v>
      </c>
      <c r="G46" s="19">
        <v>19.0</v>
      </c>
      <c r="H46" s="19">
        <v>18.0</v>
      </c>
      <c r="I46" s="20">
        <f t="shared" si="2"/>
        <v>94.73684211</v>
      </c>
      <c r="J46" s="19">
        <v>26.0</v>
      </c>
      <c r="K46" s="26">
        <v>25.0</v>
      </c>
      <c r="L46" s="27">
        <f t="shared" si="3"/>
        <v>96.15384615</v>
      </c>
      <c r="M46" s="19">
        <v>33.0</v>
      </c>
      <c r="N46" s="26">
        <v>33.0</v>
      </c>
      <c r="O46" s="27">
        <f t="shared" si="4"/>
        <v>100</v>
      </c>
      <c r="P46" s="19">
        <v>37.0</v>
      </c>
      <c r="Q46" s="19">
        <v>34.0</v>
      </c>
      <c r="R46" s="27">
        <f t="shared" si="9"/>
        <v>91.89189189</v>
      </c>
      <c r="S46" s="19">
        <v>38.0</v>
      </c>
      <c r="T46" s="26">
        <v>38.0</v>
      </c>
      <c r="U46" s="27">
        <f t="shared" si="5"/>
        <v>100</v>
      </c>
      <c r="V46" s="19">
        <v>18.0</v>
      </c>
      <c r="W46" s="26">
        <v>15.0</v>
      </c>
      <c r="X46" s="29">
        <f t="shared" si="6"/>
        <v>83.33333333</v>
      </c>
      <c r="Y46" s="22">
        <f t="shared" si="7"/>
        <v>199</v>
      </c>
      <c r="Z46" s="15">
        <v>300.0</v>
      </c>
      <c r="AA46" s="22">
        <f t="shared" si="8"/>
        <v>-101</v>
      </c>
    </row>
    <row r="47" ht="15.75" customHeight="1">
      <c r="A47" s="23">
        <v>41.0</v>
      </c>
      <c r="B47" s="24" t="s">
        <v>100</v>
      </c>
      <c r="C47" s="30" t="s">
        <v>101</v>
      </c>
      <c r="D47" s="18">
        <v>28.0</v>
      </c>
      <c r="E47" s="26">
        <v>21.0</v>
      </c>
      <c r="F47" s="27">
        <f t="shared" si="1"/>
        <v>75</v>
      </c>
      <c r="G47" s="19">
        <v>19.0</v>
      </c>
      <c r="H47" s="19">
        <v>17.0</v>
      </c>
      <c r="I47" s="20">
        <f t="shared" si="2"/>
        <v>89.47368421</v>
      </c>
      <c r="J47" s="19">
        <v>26.0</v>
      </c>
      <c r="K47" s="26">
        <v>25.0</v>
      </c>
      <c r="L47" s="27">
        <f t="shared" si="3"/>
        <v>96.15384615</v>
      </c>
      <c r="M47" s="19">
        <v>33.0</v>
      </c>
      <c r="N47" s="26">
        <v>32.0</v>
      </c>
      <c r="O47" s="27">
        <f t="shared" si="4"/>
        <v>96.96969697</v>
      </c>
      <c r="P47" s="19">
        <v>37.0</v>
      </c>
      <c r="Q47" s="19">
        <v>35.0</v>
      </c>
      <c r="R47" s="27">
        <f t="shared" si="9"/>
        <v>94.59459459</v>
      </c>
      <c r="S47" s="19">
        <v>38.0</v>
      </c>
      <c r="T47" s="26">
        <v>38.0</v>
      </c>
      <c r="U47" s="27">
        <f t="shared" si="5"/>
        <v>100</v>
      </c>
      <c r="V47" s="19">
        <v>18.0</v>
      </c>
      <c r="W47" s="26">
        <v>16.0</v>
      </c>
      <c r="X47" s="29">
        <f t="shared" si="6"/>
        <v>88.88888889</v>
      </c>
      <c r="Y47" s="22">
        <f t="shared" si="7"/>
        <v>199</v>
      </c>
      <c r="Z47" s="15">
        <v>300.0</v>
      </c>
      <c r="AA47" s="22">
        <f t="shared" si="8"/>
        <v>-101</v>
      </c>
    </row>
    <row r="48" ht="15.75" customHeight="1">
      <c r="A48" s="23">
        <v>42.0</v>
      </c>
      <c r="B48" s="24" t="s">
        <v>102</v>
      </c>
      <c r="C48" s="30" t="s">
        <v>103</v>
      </c>
      <c r="D48" s="18">
        <v>28.0</v>
      </c>
      <c r="E48" s="26">
        <v>20.0</v>
      </c>
      <c r="F48" s="27">
        <f t="shared" si="1"/>
        <v>71.42857143</v>
      </c>
      <c r="G48" s="19">
        <v>19.0</v>
      </c>
      <c r="H48" s="19">
        <v>13.0</v>
      </c>
      <c r="I48" s="20">
        <f t="shared" si="2"/>
        <v>68.42105263</v>
      </c>
      <c r="J48" s="19">
        <v>26.0</v>
      </c>
      <c r="K48" s="26">
        <v>23.0</v>
      </c>
      <c r="L48" s="27">
        <f t="shared" si="3"/>
        <v>88.46153846</v>
      </c>
      <c r="M48" s="19">
        <v>33.0</v>
      </c>
      <c r="N48" s="26">
        <v>24.0</v>
      </c>
      <c r="O48" s="27">
        <f t="shared" si="4"/>
        <v>72.72727273</v>
      </c>
      <c r="P48" s="19">
        <v>37.0</v>
      </c>
      <c r="Q48" s="19">
        <v>26.0</v>
      </c>
      <c r="R48" s="27">
        <f t="shared" si="9"/>
        <v>70.27027027</v>
      </c>
      <c r="S48" s="19">
        <v>38.0</v>
      </c>
      <c r="T48" s="26">
        <v>35.0</v>
      </c>
      <c r="U48" s="27">
        <f t="shared" si="5"/>
        <v>92.10526316</v>
      </c>
      <c r="V48" s="19">
        <v>18.0</v>
      </c>
      <c r="W48" s="26">
        <v>13.0</v>
      </c>
      <c r="X48" s="29">
        <f t="shared" si="6"/>
        <v>72.22222222</v>
      </c>
      <c r="Y48" s="22">
        <f t="shared" si="7"/>
        <v>199</v>
      </c>
      <c r="Z48" s="15">
        <v>300.0</v>
      </c>
      <c r="AA48" s="22">
        <f t="shared" si="8"/>
        <v>-101</v>
      </c>
    </row>
    <row r="49" ht="15.75" customHeight="1">
      <c r="A49" s="23">
        <v>43.0</v>
      </c>
      <c r="B49" s="24" t="s">
        <v>104</v>
      </c>
      <c r="C49" s="30" t="s">
        <v>105</v>
      </c>
      <c r="D49" s="18">
        <v>28.0</v>
      </c>
      <c r="E49" s="26">
        <v>21.0</v>
      </c>
      <c r="F49" s="27">
        <f t="shared" si="1"/>
        <v>75</v>
      </c>
      <c r="G49" s="19">
        <v>19.0</v>
      </c>
      <c r="H49" s="19">
        <v>17.0</v>
      </c>
      <c r="I49" s="20">
        <f t="shared" si="2"/>
        <v>89.47368421</v>
      </c>
      <c r="J49" s="19">
        <v>26.0</v>
      </c>
      <c r="K49" s="26">
        <v>25.0</v>
      </c>
      <c r="L49" s="27">
        <f t="shared" si="3"/>
        <v>96.15384615</v>
      </c>
      <c r="M49" s="19">
        <v>33.0</v>
      </c>
      <c r="N49" s="26">
        <v>32.0</v>
      </c>
      <c r="O49" s="27">
        <f t="shared" si="4"/>
        <v>96.96969697</v>
      </c>
      <c r="P49" s="19">
        <v>37.0</v>
      </c>
      <c r="Q49" s="19">
        <v>35.0</v>
      </c>
      <c r="R49" s="27">
        <f t="shared" si="9"/>
        <v>94.59459459</v>
      </c>
      <c r="S49" s="19">
        <v>38.0</v>
      </c>
      <c r="T49" s="26">
        <v>35.0</v>
      </c>
      <c r="U49" s="27">
        <f t="shared" si="5"/>
        <v>92.10526316</v>
      </c>
      <c r="V49" s="19">
        <v>18.0</v>
      </c>
      <c r="W49" s="26">
        <v>16.0</v>
      </c>
      <c r="X49" s="29">
        <f t="shared" si="6"/>
        <v>88.88888889</v>
      </c>
      <c r="Y49" s="22">
        <f t="shared" si="7"/>
        <v>199</v>
      </c>
      <c r="Z49" s="15">
        <v>300.0</v>
      </c>
      <c r="AA49" s="22">
        <f t="shared" si="8"/>
        <v>-101</v>
      </c>
    </row>
    <row r="50" ht="15.75" customHeight="1">
      <c r="A50" s="23">
        <v>44.0</v>
      </c>
      <c r="B50" s="24" t="s">
        <v>106</v>
      </c>
      <c r="C50" s="30" t="s">
        <v>107</v>
      </c>
      <c r="D50" s="18">
        <v>28.0</v>
      </c>
      <c r="E50" s="26">
        <v>22.0</v>
      </c>
      <c r="F50" s="27">
        <f t="shared" si="1"/>
        <v>78.57142857</v>
      </c>
      <c r="G50" s="19">
        <v>19.0</v>
      </c>
      <c r="H50" s="19">
        <v>13.0</v>
      </c>
      <c r="I50" s="20">
        <f t="shared" si="2"/>
        <v>68.42105263</v>
      </c>
      <c r="J50" s="19">
        <v>26.0</v>
      </c>
      <c r="K50" s="26">
        <v>21.0</v>
      </c>
      <c r="L50" s="27">
        <f t="shared" si="3"/>
        <v>80.76923077</v>
      </c>
      <c r="M50" s="19">
        <v>33.0</v>
      </c>
      <c r="N50" s="26">
        <v>29.0</v>
      </c>
      <c r="O50" s="27">
        <f t="shared" si="4"/>
        <v>87.87878788</v>
      </c>
      <c r="P50" s="19">
        <v>37.0</v>
      </c>
      <c r="Q50" s="19">
        <v>30.0</v>
      </c>
      <c r="R50" s="27">
        <f t="shared" si="9"/>
        <v>81.08108108</v>
      </c>
      <c r="S50" s="19">
        <v>38.0</v>
      </c>
      <c r="T50" s="26">
        <v>34.0</v>
      </c>
      <c r="U50" s="27">
        <f t="shared" si="5"/>
        <v>89.47368421</v>
      </c>
      <c r="V50" s="19">
        <v>18.0</v>
      </c>
      <c r="W50" s="26">
        <v>16.0</v>
      </c>
      <c r="X50" s="29">
        <f t="shared" si="6"/>
        <v>88.88888889</v>
      </c>
      <c r="Y50" s="22">
        <f t="shared" si="7"/>
        <v>199</v>
      </c>
      <c r="Z50" s="15">
        <v>300.0</v>
      </c>
      <c r="AA50" s="22">
        <f t="shared" si="8"/>
        <v>-101</v>
      </c>
    </row>
    <row r="51" ht="15.75" customHeight="1">
      <c r="A51" s="23">
        <v>45.0</v>
      </c>
      <c r="B51" s="24" t="s">
        <v>108</v>
      </c>
      <c r="C51" s="30" t="s">
        <v>109</v>
      </c>
      <c r="D51" s="18">
        <v>28.0</v>
      </c>
      <c r="E51" s="26">
        <v>9.0</v>
      </c>
      <c r="F51" s="27">
        <f t="shared" si="1"/>
        <v>32.14285714</v>
      </c>
      <c r="G51" s="19">
        <v>19.0</v>
      </c>
      <c r="H51" s="19">
        <v>14.0</v>
      </c>
      <c r="I51" s="20">
        <f t="shared" si="2"/>
        <v>73.68421053</v>
      </c>
      <c r="J51" s="19">
        <v>26.0</v>
      </c>
      <c r="K51" s="26">
        <v>13.0</v>
      </c>
      <c r="L51" s="27">
        <f t="shared" si="3"/>
        <v>50</v>
      </c>
      <c r="M51" s="19">
        <v>33.0</v>
      </c>
      <c r="N51" s="26">
        <v>15.0</v>
      </c>
      <c r="O51" s="27">
        <f t="shared" si="4"/>
        <v>45.45454545</v>
      </c>
      <c r="P51" s="19">
        <v>37.0</v>
      </c>
      <c r="Q51" s="19">
        <v>14.0</v>
      </c>
      <c r="R51" s="27">
        <f t="shared" si="9"/>
        <v>37.83783784</v>
      </c>
      <c r="S51" s="19">
        <v>38.0</v>
      </c>
      <c r="T51" s="26">
        <v>20.0</v>
      </c>
      <c r="U51" s="27">
        <f t="shared" si="5"/>
        <v>52.63157895</v>
      </c>
      <c r="V51" s="19">
        <v>18.0</v>
      </c>
      <c r="W51" s="26">
        <v>10.0</v>
      </c>
      <c r="X51" s="29">
        <f t="shared" si="6"/>
        <v>55.55555556</v>
      </c>
      <c r="Y51" s="22">
        <f t="shared" si="7"/>
        <v>199</v>
      </c>
      <c r="Z51" s="15">
        <v>300.0</v>
      </c>
      <c r="AA51" s="22">
        <f t="shared" si="8"/>
        <v>-101</v>
      </c>
    </row>
    <row r="52" ht="15.75" customHeight="1">
      <c r="A52" s="23">
        <v>46.0</v>
      </c>
      <c r="B52" s="24" t="s">
        <v>110</v>
      </c>
      <c r="C52" s="30" t="s">
        <v>111</v>
      </c>
      <c r="D52" s="18">
        <v>28.0</v>
      </c>
      <c r="E52" s="26">
        <v>21.0</v>
      </c>
      <c r="F52" s="27">
        <f t="shared" si="1"/>
        <v>75</v>
      </c>
      <c r="G52" s="19">
        <v>19.0</v>
      </c>
      <c r="H52" s="19">
        <v>17.0</v>
      </c>
      <c r="I52" s="20">
        <f t="shared" si="2"/>
        <v>89.47368421</v>
      </c>
      <c r="J52" s="19">
        <v>26.0</v>
      </c>
      <c r="K52" s="26">
        <v>25.0</v>
      </c>
      <c r="L52" s="27">
        <f t="shared" si="3"/>
        <v>96.15384615</v>
      </c>
      <c r="M52" s="19">
        <v>33.0</v>
      </c>
      <c r="N52" s="26">
        <v>32.0</v>
      </c>
      <c r="O52" s="27">
        <f t="shared" si="4"/>
        <v>96.96969697</v>
      </c>
      <c r="P52" s="19">
        <v>37.0</v>
      </c>
      <c r="Q52" s="19">
        <v>31.0</v>
      </c>
      <c r="R52" s="27">
        <f t="shared" si="9"/>
        <v>83.78378378</v>
      </c>
      <c r="S52" s="19">
        <v>38.0</v>
      </c>
      <c r="T52" s="26">
        <v>33.0</v>
      </c>
      <c r="U52" s="27">
        <f t="shared" si="5"/>
        <v>86.84210526</v>
      </c>
      <c r="V52" s="19">
        <v>18.0</v>
      </c>
      <c r="W52" s="26">
        <v>15.0</v>
      </c>
      <c r="X52" s="29">
        <f t="shared" si="6"/>
        <v>83.33333333</v>
      </c>
      <c r="Y52" s="22">
        <f t="shared" si="7"/>
        <v>199</v>
      </c>
      <c r="Z52" s="15">
        <v>300.0</v>
      </c>
      <c r="AA52" s="22">
        <f t="shared" si="8"/>
        <v>-101</v>
      </c>
    </row>
    <row r="53" ht="15.75" customHeight="1">
      <c r="A53" s="23">
        <v>47.0</v>
      </c>
      <c r="B53" s="24" t="s">
        <v>112</v>
      </c>
      <c r="C53" s="30" t="s">
        <v>113</v>
      </c>
      <c r="D53" s="18">
        <v>28.0</v>
      </c>
      <c r="E53" s="26">
        <v>22.0</v>
      </c>
      <c r="F53" s="27">
        <f t="shared" si="1"/>
        <v>78.57142857</v>
      </c>
      <c r="G53" s="19">
        <v>19.0</v>
      </c>
      <c r="H53" s="19">
        <v>12.0</v>
      </c>
      <c r="I53" s="20">
        <f t="shared" si="2"/>
        <v>63.15789474</v>
      </c>
      <c r="J53" s="19">
        <v>26.0</v>
      </c>
      <c r="K53" s="26">
        <v>24.0</v>
      </c>
      <c r="L53" s="27">
        <f t="shared" si="3"/>
        <v>92.30769231</v>
      </c>
      <c r="M53" s="19">
        <v>33.0</v>
      </c>
      <c r="N53" s="26">
        <v>31.0</v>
      </c>
      <c r="O53" s="27">
        <f t="shared" si="4"/>
        <v>93.93939394</v>
      </c>
      <c r="P53" s="19">
        <v>37.0</v>
      </c>
      <c r="Q53" s="19">
        <v>34.0</v>
      </c>
      <c r="R53" s="27">
        <f t="shared" si="9"/>
        <v>91.89189189</v>
      </c>
      <c r="S53" s="19">
        <v>38.0</v>
      </c>
      <c r="T53" s="26">
        <v>37.0</v>
      </c>
      <c r="U53" s="27">
        <f t="shared" si="5"/>
        <v>97.36842105</v>
      </c>
      <c r="V53" s="19">
        <v>18.0</v>
      </c>
      <c r="W53" s="26">
        <v>17.0</v>
      </c>
      <c r="X53" s="29">
        <f t="shared" si="6"/>
        <v>94.44444444</v>
      </c>
      <c r="Y53" s="22">
        <f t="shared" si="7"/>
        <v>199</v>
      </c>
      <c r="Z53" s="15">
        <v>300.0</v>
      </c>
      <c r="AA53" s="22">
        <f t="shared" si="8"/>
        <v>-101</v>
      </c>
    </row>
    <row r="54" ht="15.75" customHeight="1">
      <c r="A54" s="23">
        <v>48.0</v>
      </c>
      <c r="B54" s="24" t="s">
        <v>114</v>
      </c>
      <c r="C54" s="30" t="s">
        <v>115</v>
      </c>
      <c r="D54" s="18">
        <v>28.0</v>
      </c>
      <c r="E54" s="26">
        <v>21.0</v>
      </c>
      <c r="F54" s="27">
        <f t="shared" si="1"/>
        <v>75</v>
      </c>
      <c r="G54" s="19">
        <v>19.0</v>
      </c>
      <c r="H54" s="19">
        <v>8.0</v>
      </c>
      <c r="I54" s="20">
        <f t="shared" si="2"/>
        <v>42.10526316</v>
      </c>
      <c r="J54" s="19">
        <v>26.0</v>
      </c>
      <c r="K54" s="26">
        <v>10.0</v>
      </c>
      <c r="L54" s="27">
        <f t="shared" si="3"/>
        <v>38.46153846</v>
      </c>
      <c r="M54" s="19">
        <v>33.0</v>
      </c>
      <c r="N54" s="26">
        <v>17.0</v>
      </c>
      <c r="O54" s="27">
        <f t="shared" si="4"/>
        <v>51.51515152</v>
      </c>
      <c r="P54" s="19">
        <v>37.0</v>
      </c>
      <c r="Q54" s="19">
        <v>15.0</v>
      </c>
      <c r="R54" s="27">
        <f t="shared" si="9"/>
        <v>40.54054054</v>
      </c>
      <c r="S54" s="19">
        <v>38.0</v>
      </c>
      <c r="T54" s="26">
        <v>22.0</v>
      </c>
      <c r="U54" s="27">
        <f t="shared" si="5"/>
        <v>57.89473684</v>
      </c>
      <c r="V54" s="19">
        <v>18.0</v>
      </c>
      <c r="W54" s="26">
        <v>13.0</v>
      </c>
      <c r="X54" s="29">
        <f t="shared" si="6"/>
        <v>72.22222222</v>
      </c>
      <c r="Y54" s="22">
        <f t="shared" si="7"/>
        <v>199</v>
      </c>
      <c r="Z54" s="15">
        <v>300.0</v>
      </c>
      <c r="AA54" s="22">
        <f t="shared" si="8"/>
        <v>-101</v>
      </c>
    </row>
    <row r="55" ht="15.75" customHeight="1">
      <c r="A55" s="23">
        <v>49.0</v>
      </c>
      <c r="B55" s="24" t="s">
        <v>116</v>
      </c>
      <c r="C55" s="30" t="s">
        <v>117</v>
      </c>
      <c r="D55" s="18">
        <v>28.0</v>
      </c>
      <c r="E55" s="26">
        <v>16.0</v>
      </c>
      <c r="F55" s="27">
        <f t="shared" si="1"/>
        <v>57.14285714</v>
      </c>
      <c r="G55" s="19">
        <v>19.0</v>
      </c>
      <c r="H55" s="19">
        <v>5.0</v>
      </c>
      <c r="I55" s="20">
        <f t="shared" si="2"/>
        <v>26.31578947</v>
      </c>
      <c r="J55" s="19">
        <v>26.0</v>
      </c>
      <c r="K55" s="26">
        <v>13.0</v>
      </c>
      <c r="L55" s="27">
        <f t="shared" si="3"/>
        <v>50</v>
      </c>
      <c r="M55" s="19">
        <v>33.0</v>
      </c>
      <c r="N55" s="26">
        <v>19.0</v>
      </c>
      <c r="O55" s="27">
        <f t="shared" si="4"/>
        <v>57.57575758</v>
      </c>
      <c r="P55" s="19">
        <v>37.0</v>
      </c>
      <c r="Q55" s="19">
        <v>18.0</v>
      </c>
      <c r="R55" s="27">
        <f t="shared" si="9"/>
        <v>48.64864865</v>
      </c>
      <c r="S55" s="19">
        <v>38.0</v>
      </c>
      <c r="T55" s="26">
        <v>21.0</v>
      </c>
      <c r="U55" s="27">
        <f t="shared" si="5"/>
        <v>55.26315789</v>
      </c>
      <c r="V55" s="19">
        <v>18.0</v>
      </c>
      <c r="W55" s="26">
        <v>5.0</v>
      </c>
      <c r="X55" s="29">
        <f t="shared" si="6"/>
        <v>27.77777778</v>
      </c>
      <c r="Y55" s="22">
        <f t="shared" si="7"/>
        <v>199</v>
      </c>
      <c r="Z55" s="15">
        <v>300.0</v>
      </c>
      <c r="AA55" s="22">
        <f t="shared" si="8"/>
        <v>-101</v>
      </c>
    </row>
    <row r="56" ht="15.75" customHeight="1">
      <c r="A56" s="23">
        <v>50.0</v>
      </c>
      <c r="B56" s="24" t="s">
        <v>118</v>
      </c>
      <c r="C56" s="30" t="s">
        <v>119</v>
      </c>
      <c r="D56" s="18">
        <v>28.0</v>
      </c>
      <c r="E56" s="26">
        <v>20.0</v>
      </c>
      <c r="F56" s="27">
        <f t="shared" si="1"/>
        <v>71.42857143</v>
      </c>
      <c r="G56" s="19">
        <v>19.0</v>
      </c>
      <c r="H56" s="19">
        <v>10.0</v>
      </c>
      <c r="I56" s="20">
        <f t="shared" si="2"/>
        <v>52.63157895</v>
      </c>
      <c r="J56" s="19">
        <v>26.0</v>
      </c>
      <c r="K56" s="26">
        <v>3.0</v>
      </c>
      <c r="L56" s="27">
        <f t="shared" si="3"/>
        <v>11.53846154</v>
      </c>
      <c r="M56" s="19">
        <v>33.0</v>
      </c>
      <c r="N56" s="26">
        <v>8.0</v>
      </c>
      <c r="O56" s="27">
        <f t="shared" si="4"/>
        <v>24.24242424</v>
      </c>
      <c r="P56" s="19">
        <v>37.0</v>
      </c>
      <c r="Q56" s="19">
        <v>8.0</v>
      </c>
      <c r="R56" s="27">
        <f t="shared" si="9"/>
        <v>21.62162162</v>
      </c>
      <c r="S56" s="19">
        <v>38.0</v>
      </c>
      <c r="T56" s="26">
        <v>11.0</v>
      </c>
      <c r="U56" s="27">
        <f t="shared" si="5"/>
        <v>28.94736842</v>
      </c>
      <c r="V56" s="19">
        <v>18.0</v>
      </c>
      <c r="W56" s="26">
        <v>0.0</v>
      </c>
      <c r="X56" s="29">
        <f t="shared" si="6"/>
        <v>0</v>
      </c>
      <c r="Y56" s="22">
        <f t="shared" si="7"/>
        <v>199</v>
      </c>
      <c r="Z56" s="15">
        <v>300.0</v>
      </c>
      <c r="AA56" s="22">
        <f t="shared" si="8"/>
        <v>-101</v>
      </c>
    </row>
    <row r="57" ht="15.75" customHeight="1">
      <c r="Y57" s="31"/>
      <c r="Z57" s="31"/>
      <c r="AA57" s="31"/>
    </row>
    <row r="58" ht="15.75" customHeight="1">
      <c r="Y58" s="31"/>
      <c r="Z58" s="31"/>
      <c r="AA58" s="31"/>
    </row>
    <row r="59" ht="15.75" customHeight="1">
      <c r="Y59" s="31"/>
      <c r="Z59" s="31"/>
      <c r="AA59" s="31"/>
    </row>
    <row r="60" ht="15.75" customHeight="1">
      <c r="Y60" s="31"/>
      <c r="Z60" s="31"/>
      <c r="AA60" s="31"/>
    </row>
    <row r="61" ht="15.75" customHeight="1">
      <c r="Y61" s="31"/>
      <c r="Z61" s="31"/>
      <c r="AA61" s="31"/>
    </row>
    <row r="62" ht="15.75" customHeight="1">
      <c r="Y62" s="31"/>
      <c r="Z62" s="31"/>
      <c r="AA62" s="31"/>
    </row>
    <row r="63" ht="15.75" customHeight="1">
      <c r="Y63" s="31"/>
      <c r="Z63" s="31"/>
      <c r="AA63" s="31"/>
    </row>
    <row r="64" ht="15.75" customHeight="1">
      <c r="Y64" s="31"/>
      <c r="Z64" s="31"/>
      <c r="AA64" s="31"/>
    </row>
    <row r="65" ht="15.75" customHeight="1">
      <c r="Y65" s="31"/>
      <c r="Z65" s="31"/>
      <c r="AA65" s="31"/>
    </row>
    <row r="66" ht="15.75" customHeight="1">
      <c r="Y66" s="31"/>
      <c r="Z66" s="31"/>
      <c r="AA66" s="31"/>
    </row>
    <row r="67" ht="15.75" customHeight="1">
      <c r="Y67" s="31"/>
      <c r="Z67" s="31"/>
      <c r="AA67" s="31"/>
    </row>
    <row r="68" ht="15.75" customHeight="1">
      <c r="Y68" s="31"/>
      <c r="Z68" s="31"/>
      <c r="AA68" s="31"/>
    </row>
    <row r="69" ht="15.75" customHeight="1">
      <c r="Y69" s="31"/>
      <c r="Z69" s="31"/>
      <c r="AA69" s="31"/>
    </row>
    <row r="70" ht="15.75" customHeight="1">
      <c r="Y70" s="31"/>
      <c r="Z70" s="31"/>
      <c r="AA70" s="31"/>
    </row>
    <row r="71" ht="15.75" customHeight="1">
      <c r="Y71" s="31"/>
      <c r="Z71" s="31"/>
      <c r="AA71" s="31"/>
    </row>
    <row r="72" ht="15.75" customHeight="1">
      <c r="Y72" s="31"/>
      <c r="Z72" s="31"/>
      <c r="AA72" s="31"/>
    </row>
    <row r="73" ht="15.75" customHeight="1">
      <c r="Y73" s="31"/>
      <c r="Z73" s="31"/>
      <c r="AA73" s="31"/>
    </row>
    <row r="74" ht="15.75" customHeight="1">
      <c r="Y74" s="31"/>
      <c r="Z74" s="31"/>
      <c r="AA74" s="31"/>
    </row>
    <row r="75" ht="15.75" customHeight="1">
      <c r="Y75" s="31"/>
      <c r="Z75" s="31"/>
      <c r="AA75" s="31"/>
    </row>
    <row r="76" ht="15.75" customHeight="1">
      <c r="Y76" s="31"/>
      <c r="Z76" s="31"/>
      <c r="AA76" s="31"/>
    </row>
    <row r="77" ht="15.75" customHeight="1">
      <c r="Y77" s="31"/>
      <c r="Z77" s="31"/>
      <c r="AA77" s="31"/>
    </row>
    <row r="78" ht="15.75" customHeight="1">
      <c r="Y78" s="31"/>
      <c r="Z78" s="31"/>
      <c r="AA78" s="31"/>
    </row>
    <row r="79" ht="15.75" customHeight="1">
      <c r="Y79" s="31"/>
      <c r="Z79" s="31"/>
      <c r="AA79" s="31"/>
    </row>
    <row r="80" ht="15.75" customHeight="1">
      <c r="Y80" s="31"/>
      <c r="Z80" s="31"/>
      <c r="AA80" s="31"/>
    </row>
    <row r="81" ht="15.75" customHeight="1">
      <c r="Y81" s="31"/>
      <c r="Z81" s="31"/>
      <c r="AA81" s="31"/>
    </row>
    <row r="82" ht="15.75" customHeight="1">
      <c r="Y82" s="31"/>
      <c r="Z82" s="31"/>
      <c r="AA82" s="31"/>
    </row>
    <row r="83" ht="15.75" customHeight="1">
      <c r="Y83" s="31"/>
      <c r="Z83" s="31"/>
      <c r="AA83" s="31"/>
    </row>
    <row r="84" ht="15.75" customHeight="1">
      <c r="Y84" s="31"/>
      <c r="Z84" s="31"/>
      <c r="AA84" s="31"/>
    </row>
    <row r="85" ht="15.75" customHeight="1">
      <c r="Y85" s="31"/>
      <c r="Z85" s="31"/>
      <c r="AA85" s="31"/>
    </row>
    <row r="86" ht="15.75" customHeight="1">
      <c r="Y86" s="31"/>
      <c r="Z86" s="31"/>
      <c r="AA86" s="31"/>
    </row>
    <row r="87" ht="15.75" customHeight="1">
      <c r="Y87" s="31"/>
      <c r="Z87" s="31"/>
      <c r="AA87" s="31"/>
    </row>
    <row r="88" ht="15.75" customHeight="1">
      <c r="Y88" s="31"/>
      <c r="Z88" s="31"/>
      <c r="AA88" s="31"/>
    </row>
    <row r="89" ht="15.75" customHeight="1">
      <c r="Y89" s="31"/>
      <c r="Z89" s="31"/>
      <c r="AA89" s="31"/>
    </row>
    <row r="90" ht="15.75" customHeight="1">
      <c r="Y90" s="31"/>
      <c r="Z90" s="31"/>
      <c r="AA90" s="31"/>
    </row>
    <row r="91" ht="15.75" customHeight="1">
      <c r="Y91" s="31"/>
      <c r="Z91" s="31"/>
      <c r="AA91" s="31"/>
    </row>
    <row r="92" ht="15.75" customHeight="1">
      <c r="Y92" s="31"/>
      <c r="Z92" s="31"/>
      <c r="AA92" s="31"/>
    </row>
    <row r="93" ht="15.75" customHeight="1">
      <c r="Y93" s="31"/>
      <c r="Z93" s="31"/>
      <c r="AA93" s="31"/>
    </row>
    <row r="94" ht="15.75" customHeight="1">
      <c r="Y94" s="31"/>
      <c r="Z94" s="31"/>
      <c r="AA94" s="31"/>
    </row>
    <row r="95" ht="15.75" customHeight="1">
      <c r="Y95" s="31"/>
      <c r="Z95" s="31"/>
      <c r="AA95" s="31"/>
    </row>
    <row r="96" ht="15.75" customHeight="1">
      <c r="Y96" s="31"/>
      <c r="Z96" s="31"/>
      <c r="AA96" s="31"/>
    </row>
    <row r="97" ht="15.75" customHeight="1">
      <c r="Y97" s="31"/>
      <c r="Z97" s="31"/>
      <c r="AA97" s="31"/>
    </row>
    <row r="98" ht="15.75" customHeight="1">
      <c r="Y98" s="31"/>
      <c r="Z98" s="31"/>
      <c r="AA98" s="31"/>
    </row>
    <row r="99" ht="15.75" customHeight="1">
      <c r="Y99" s="31"/>
      <c r="Z99" s="31"/>
      <c r="AA99" s="31"/>
    </row>
    <row r="100" ht="15.75" customHeight="1">
      <c r="Y100" s="31"/>
      <c r="Z100" s="31"/>
      <c r="AA100" s="31"/>
    </row>
    <row r="101" ht="15.75" customHeight="1">
      <c r="Y101" s="31"/>
      <c r="Z101" s="31"/>
      <c r="AA101" s="31"/>
    </row>
    <row r="102" ht="15.75" customHeight="1">
      <c r="Y102" s="31"/>
      <c r="Z102" s="31"/>
      <c r="AA102" s="31"/>
    </row>
    <row r="103" ht="15.75" customHeight="1">
      <c r="Y103" s="31"/>
      <c r="Z103" s="31"/>
      <c r="AA103" s="31"/>
    </row>
    <row r="104" ht="15.75" customHeight="1">
      <c r="Y104" s="31"/>
      <c r="Z104" s="31"/>
      <c r="AA104" s="31"/>
    </row>
    <row r="105" ht="15.75" customHeight="1">
      <c r="Y105" s="31"/>
      <c r="Z105" s="31"/>
      <c r="AA105" s="31"/>
    </row>
    <row r="106" ht="15.75" customHeight="1">
      <c r="Y106" s="31"/>
      <c r="Z106" s="31"/>
      <c r="AA106" s="31"/>
    </row>
    <row r="107" ht="15.75" customHeight="1">
      <c r="Y107" s="31"/>
      <c r="Z107" s="31"/>
      <c r="AA107" s="31"/>
    </row>
    <row r="108" ht="15.75" customHeight="1">
      <c r="Y108" s="31"/>
      <c r="Z108" s="31"/>
      <c r="AA108" s="31"/>
    </row>
    <row r="109" ht="15.75" customHeight="1">
      <c r="Y109" s="31"/>
      <c r="Z109" s="31"/>
      <c r="AA109" s="31"/>
    </row>
    <row r="110" ht="15.75" customHeight="1">
      <c r="Y110" s="31"/>
      <c r="Z110" s="31"/>
      <c r="AA110" s="31"/>
    </row>
    <row r="111" ht="15.75" customHeight="1">
      <c r="Y111" s="31"/>
      <c r="Z111" s="31"/>
      <c r="AA111" s="31"/>
    </row>
    <row r="112" ht="15.75" customHeight="1">
      <c r="Y112" s="31"/>
      <c r="Z112" s="31"/>
      <c r="AA112" s="31"/>
    </row>
    <row r="113" ht="15.75" customHeight="1">
      <c r="Y113" s="31"/>
      <c r="Z113" s="31"/>
      <c r="AA113" s="31"/>
    </row>
    <row r="114" ht="15.75" customHeight="1">
      <c r="Y114" s="31"/>
      <c r="Z114" s="31"/>
      <c r="AA114" s="31"/>
    </row>
    <row r="115" ht="15.75" customHeight="1">
      <c r="Y115" s="31"/>
      <c r="Z115" s="31"/>
      <c r="AA115" s="31"/>
    </row>
    <row r="116" ht="15.75" customHeight="1">
      <c r="Y116" s="31"/>
      <c r="Z116" s="31"/>
      <c r="AA116" s="31"/>
    </row>
    <row r="117" ht="15.75" customHeight="1">
      <c r="Y117" s="31"/>
      <c r="Z117" s="31"/>
      <c r="AA117" s="31"/>
    </row>
    <row r="118" ht="15.75" customHeight="1">
      <c r="Y118" s="31"/>
      <c r="Z118" s="31"/>
      <c r="AA118" s="31"/>
    </row>
    <row r="119" ht="15.75" customHeight="1">
      <c r="Y119" s="31"/>
      <c r="Z119" s="31"/>
      <c r="AA119" s="31"/>
    </row>
    <row r="120" ht="15.75" customHeight="1">
      <c r="Y120" s="31"/>
      <c r="Z120" s="31"/>
      <c r="AA120" s="31"/>
    </row>
    <row r="121" ht="15.75" customHeight="1">
      <c r="Y121" s="31"/>
      <c r="Z121" s="31"/>
      <c r="AA121" s="31"/>
    </row>
    <row r="122" ht="15.75" customHeight="1">
      <c r="Y122" s="31"/>
      <c r="Z122" s="31"/>
      <c r="AA122" s="31"/>
    </row>
    <row r="123" ht="15.75" customHeight="1">
      <c r="Y123" s="31"/>
      <c r="Z123" s="31"/>
      <c r="AA123" s="31"/>
    </row>
    <row r="124" ht="15.75" customHeight="1">
      <c r="Y124" s="31"/>
      <c r="Z124" s="31"/>
      <c r="AA124" s="31"/>
    </row>
    <row r="125" ht="15.75" customHeight="1">
      <c r="Y125" s="31"/>
      <c r="Z125" s="31"/>
      <c r="AA125" s="31"/>
    </row>
    <row r="126" ht="15.75" customHeight="1">
      <c r="Y126" s="31"/>
      <c r="Z126" s="31"/>
      <c r="AA126" s="31"/>
    </row>
    <row r="127" ht="15.75" customHeight="1">
      <c r="Y127" s="31"/>
      <c r="Z127" s="31"/>
      <c r="AA127" s="31"/>
    </row>
    <row r="128" ht="15.75" customHeight="1">
      <c r="Y128" s="31"/>
      <c r="Z128" s="31"/>
      <c r="AA128" s="31"/>
    </row>
    <row r="129" ht="15.75" customHeight="1">
      <c r="Y129" s="31"/>
      <c r="Z129" s="31"/>
      <c r="AA129" s="31"/>
    </row>
    <row r="130" ht="15.75" customHeight="1">
      <c r="Y130" s="31"/>
      <c r="Z130" s="31"/>
      <c r="AA130" s="31"/>
    </row>
    <row r="131" ht="15.75" customHeight="1">
      <c r="Y131" s="31"/>
      <c r="Z131" s="31"/>
      <c r="AA131" s="31"/>
    </row>
    <row r="132" ht="15.75" customHeight="1">
      <c r="Y132" s="31"/>
      <c r="Z132" s="31"/>
      <c r="AA132" s="31"/>
    </row>
    <row r="133" ht="15.75" customHeight="1">
      <c r="Y133" s="31"/>
      <c r="Z133" s="31"/>
      <c r="AA133" s="31"/>
    </row>
    <row r="134" ht="15.75" customHeight="1">
      <c r="Y134" s="31"/>
      <c r="Z134" s="31"/>
      <c r="AA134" s="31"/>
    </row>
    <row r="135" ht="15.75" customHeight="1">
      <c r="Y135" s="31"/>
      <c r="Z135" s="31"/>
      <c r="AA135" s="31"/>
    </row>
    <row r="136" ht="15.75" customHeight="1">
      <c r="Y136" s="31"/>
      <c r="Z136" s="31"/>
      <c r="AA136" s="31"/>
    </row>
    <row r="137" ht="15.75" customHeight="1">
      <c r="Y137" s="31"/>
      <c r="Z137" s="31"/>
      <c r="AA137" s="31"/>
    </row>
    <row r="138" ht="15.75" customHeight="1">
      <c r="Y138" s="31"/>
      <c r="Z138" s="31"/>
      <c r="AA138" s="31"/>
    </row>
    <row r="139" ht="15.75" customHeight="1">
      <c r="Y139" s="31"/>
      <c r="Z139" s="31"/>
      <c r="AA139" s="31"/>
    </row>
    <row r="140" ht="15.75" customHeight="1">
      <c r="Y140" s="31"/>
      <c r="Z140" s="31"/>
      <c r="AA140" s="31"/>
    </row>
    <row r="141" ht="15.75" customHeight="1">
      <c r="Y141" s="31"/>
      <c r="Z141" s="31"/>
      <c r="AA141" s="31"/>
    </row>
    <row r="142" ht="15.75" customHeight="1">
      <c r="Y142" s="31"/>
      <c r="Z142" s="31"/>
      <c r="AA142" s="31"/>
    </row>
    <row r="143" ht="15.75" customHeight="1">
      <c r="Y143" s="31"/>
      <c r="Z143" s="31"/>
      <c r="AA143" s="31"/>
    </row>
    <row r="144" ht="15.75" customHeight="1">
      <c r="Y144" s="31"/>
      <c r="Z144" s="31"/>
      <c r="AA144" s="31"/>
    </row>
    <row r="145" ht="15.75" customHeight="1">
      <c r="Y145" s="31"/>
      <c r="Z145" s="31"/>
      <c r="AA145" s="31"/>
    </row>
    <row r="146" ht="15.75" customHeight="1">
      <c r="Y146" s="31"/>
      <c r="Z146" s="31"/>
      <c r="AA146" s="31"/>
    </row>
    <row r="147" ht="15.75" customHeight="1">
      <c r="Y147" s="31"/>
      <c r="Z147" s="31"/>
      <c r="AA147" s="31"/>
    </row>
    <row r="148" ht="15.75" customHeight="1">
      <c r="Y148" s="31"/>
      <c r="Z148" s="31"/>
      <c r="AA148" s="31"/>
    </row>
    <row r="149" ht="15.75" customHeight="1">
      <c r="Y149" s="31"/>
      <c r="Z149" s="31"/>
      <c r="AA149" s="31"/>
    </row>
    <row r="150" ht="15.75" customHeight="1">
      <c r="Y150" s="31"/>
      <c r="Z150" s="31"/>
      <c r="AA150" s="31"/>
    </row>
    <row r="151" ht="15.75" customHeight="1">
      <c r="Y151" s="31"/>
      <c r="Z151" s="31"/>
      <c r="AA151" s="31"/>
    </row>
    <row r="152" ht="15.75" customHeight="1">
      <c r="Y152" s="31"/>
      <c r="Z152" s="31"/>
      <c r="AA152" s="31"/>
    </row>
    <row r="153" ht="15.75" customHeight="1">
      <c r="Y153" s="31"/>
      <c r="Z153" s="31"/>
      <c r="AA153" s="31"/>
    </row>
    <row r="154" ht="15.75" customHeight="1">
      <c r="Y154" s="31"/>
      <c r="Z154" s="31"/>
      <c r="AA154" s="31"/>
    </row>
    <row r="155" ht="15.75" customHeight="1">
      <c r="Y155" s="31"/>
      <c r="Z155" s="31"/>
      <c r="AA155" s="31"/>
    </row>
    <row r="156" ht="15.75" customHeight="1">
      <c r="Y156" s="31"/>
      <c r="Z156" s="31"/>
      <c r="AA156" s="31"/>
    </row>
    <row r="157" ht="15.75" customHeight="1">
      <c r="Y157" s="31"/>
      <c r="Z157" s="31"/>
      <c r="AA157" s="31"/>
    </row>
    <row r="158" ht="15.75" customHeight="1">
      <c r="Y158" s="31"/>
      <c r="Z158" s="31"/>
      <c r="AA158" s="31"/>
    </row>
    <row r="159" ht="15.75" customHeight="1">
      <c r="Y159" s="31"/>
      <c r="Z159" s="31"/>
      <c r="AA159" s="31"/>
    </row>
    <row r="160" ht="15.75" customHeight="1">
      <c r="Y160" s="31"/>
      <c r="Z160" s="31"/>
      <c r="AA160" s="31"/>
    </row>
    <row r="161" ht="15.75" customHeight="1">
      <c r="Y161" s="31"/>
      <c r="Z161" s="31"/>
      <c r="AA161" s="31"/>
    </row>
    <row r="162" ht="15.75" customHeight="1">
      <c r="Y162" s="31"/>
      <c r="Z162" s="31"/>
      <c r="AA162" s="31"/>
    </row>
    <row r="163" ht="15.75" customHeight="1">
      <c r="Y163" s="31"/>
      <c r="Z163" s="31"/>
      <c r="AA163" s="31"/>
    </row>
    <row r="164" ht="15.75" customHeight="1">
      <c r="Y164" s="31"/>
      <c r="Z164" s="31"/>
      <c r="AA164" s="31"/>
    </row>
    <row r="165" ht="15.75" customHeight="1">
      <c r="Y165" s="31"/>
      <c r="Z165" s="31"/>
      <c r="AA165" s="31"/>
    </row>
    <row r="166" ht="15.75" customHeight="1">
      <c r="Y166" s="31"/>
      <c r="Z166" s="31"/>
      <c r="AA166" s="31"/>
    </row>
    <row r="167" ht="15.75" customHeight="1">
      <c r="Y167" s="31"/>
      <c r="Z167" s="31"/>
      <c r="AA167" s="31"/>
    </row>
    <row r="168" ht="15.75" customHeight="1">
      <c r="Y168" s="31"/>
      <c r="Z168" s="31"/>
      <c r="AA168" s="31"/>
    </row>
    <row r="169" ht="15.75" customHeight="1">
      <c r="Y169" s="31"/>
      <c r="Z169" s="31"/>
      <c r="AA169" s="31"/>
    </row>
    <row r="170" ht="15.75" customHeight="1">
      <c r="Y170" s="31"/>
      <c r="Z170" s="31"/>
      <c r="AA170" s="31"/>
    </row>
    <row r="171" ht="15.75" customHeight="1">
      <c r="Y171" s="31"/>
      <c r="Z171" s="31"/>
      <c r="AA171" s="31"/>
    </row>
    <row r="172" ht="15.75" customHeight="1">
      <c r="Y172" s="31"/>
      <c r="Z172" s="31"/>
      <c r="AA172" s="31"/>
    </row>
    <row r="173" ht="15.75" customHeight="1">
      <c r="Y173" s="31"/>
      <c r="Z173" s="31"/>
      <c r="AA173" s="31"/>
    </row>
    <row r="174" ht="15.75" customHeight="1">
      <c r="Y174" s="31"/>
      <c r="Z174" s="31"/>
      <c r="AA174" s="31"/>
    </row>
    <row r="175" ht="15.75" customHeight="1">
      <c r="Y175" s="31"/>
      <c r="Z175" s="31"/>
      <c r="AA175" s="31"/>
    </row>
    <row r="176" ht="15.75" customHeight="1">
      <c r="Y176" s="31"/>
      <c r="Z176" s="31"/>
      <c r="AA176" s="31"/>
    </row>
    <row r="177" ht="15.75" customHeight="1">
      <c r="Y177" s="31"/>
      <c r="Z177" s="31"/>
      <c r="AA177" s="31"/>
    </row>
    <row r="178" ht="15.75" customHeight="1">
      <c r="Y178" s="31"/>
      <c r="Z178" s="31"/>
      <c r="AA178" s="31"/>
    </row>
    <row r="179" ht="15.75" customHeight="1">
      <c r="Y179" s="31"/>
      <c r="Z179" s="31"/>
      <c r="AA179" s="31"/>
    </row>
    <row r="180" ht="15.75" customHeight="1">
      <c r="Y180" s="31"/>
      <c r="Z180" s="31"/>
      <c r="AA180" s="31"/>
    </row>
    <row r="181" ht="15.75" customHeight="1">
      <c r="Y181" s="31"/>
      <c r="Z181" s="31"/>
      <c r="AA181" s="31"/>
    </row>
    <row r="182" ht="15.75" customHeight="1">
      <c r="Y182" s="31"/>
      <c r="Z182" s="31"/>
      <c r="AA182" s="31"/>
    </row>
    <row r="183" ht="15.75" customHeight="1">
      <c r="Y183" s="31"/>
      <c r="Z183" s="31"/>
      <c r="AA183" s="31"/>
    </row>
    <row r="184" ht="15.75" customHeight="1">
      <c r="Y184" s="31"/>
      <c r="Z184" s="31"/>
      <c r="AA184" s="31"/>
    </row>
    <row r="185" ht="15.75" customHeight="1">
      <c r="Y185" s="31"/>
      <c r="Z185" s="31"/>
      <c r="AA185" s="31"/>
    </row>
    <row r="186" ht="15.75" customHeight="1">
      <c r="Y186" s="31"/>
      <c r="Z186" s="31"/>
      <c r="AA186" s="31"/>
    </row>
    <row r="187" ht="15.75" customHeight="1">
      <c r="Y187" s="31"/>
      <c r="Z187" s="31"/>
      <c r="AA187" s="31"/>
    </row>
    <row r="188" ht="15.75" customHeight="1">
      <c r="Y188" s="31"/>
      <c r="Z188" s="31"/>
      <c r="AA188" s="31"/>
    </row>
    <row r="189" ht="15.75" customHeight="1">
      <c r="Y189" s="31"/>
      <c r="Z189" s="31"/>
      <c r="AA189" s="31"/>
    </row>
    <row r="190" ht="15.75" customHeight="1">
      <c r="Y190" s="31"/>
      <c r="Z190" s="31"/>
      <c r="AA190" s="31"/>
    </row>
    <row r="191" ht="15.75" customHeight="1">
      <c r="Y191" s="31"/>
      <c r="Z191" s="31"/>
      <c r="AA191" s="31"/>
    </row>
    <row r="192" ht="15.75" customHeight="1">
      <c r="Y192" s="31"/>
      <c r="Z192" s="31"/>
      <c r="AA192" s="31"/>
    </row>
    <row r="193" ht="15.75" customHeight="1">
      <c r="Y193" s="31"/>
      <c r="Z193" s="31"/>
      <c r="AA193" s="31"/>
    </row>
    <row r="194" ht="15.75" customHeight="1">
      <c r="Y194" s="31"/>
      <c r="Z194" s="31"/>
      <c r="AA194" s="31"/>
    </row>
    <row r="195" ht="15.75" customHeight="1">
      <c r="Y195" s="31"/>
      <c r="Z195" s="31"/>
      <c r="AA195" s="31"/>
    </row>
    <row r="196" ht="15.75" customHeight="1">
      <c r="Y196" s="31"/>
      <c r="Z196" s="31"/>
      <c r="AA196" s="31"/>
    </row>
    <row r="197" ht="15.75" customHeight="1">
      <c r="Y197" s="31"/>
      <c r="Z197" s="31"/>
      <c r="AA197" s="31"/>
    </row>
    <row r="198" ht="15.75" customHeight="1">
      <c r="Y198" s="31"/>
      <c r="Z198" s="31"/>
      <c r="AA198" s="31"/>
    </row>
    <row r="199" ht="15.75" customHeight="1">
      <c r="Y199" s="31"/>
      <c r="Z199" s="31"/>
      <c r="AA199" s="31"/>
    </row>
    <row r="200" ht="15.75" customHeight="1">
      <c r="Y200" s="31"/>
      <c r="Z200" s="31"/>
      <c r="AA200" s="31"/>
    </row>
    <row r="201" ht="15.75" customHeight="1">
      <c r="Y201" s="31"/>
      <c r="Z201" s="31"/>
      <c r="AA201" s="31"/>
    </row>
    <row r="202" ht="15.75" customHeight="1">
      <c r="Y202" s="31"/>
      <c r="Z202" s="31"/>
      <c r="AA202" s="31"/>
    </row>
    <row r="203" ht="15.75" customHeight="1">
      <c r="Y203" s="31"/>
      <c r="Z203" s="31"/>
      <c r="AA203" s="31"/>
    </row>
    <row r="204" ht="15.75" customHeight="1">
      <c r="Y204" s="31"/>
      <c r="Z204" s="31"/>
      <c r="AA204" s="31"/>
    </row>
    <row r="205" ht="15.75" customHeight="1">
      <c r="Y205" s="31"/>
      <c r="Z205" s="31"/>
      <c r="AA205" s="31"/>
    </row>
    <row r="206" ht="15.75" customHeight="1">
      <c r="Y206" s="31"/>
      <c r="Z206" s="31"/>
      <c r="AA206" s="31"/>
    </row>
    <row r="207" ht="15.75" customHeight="1">
      <c r="Y207" s="31"/>
      <c r="Z207" s="31"/>
      <c r="AA207" s="31"/>
    </row>
    <row r="208" ht="15.75" customHeight="1">
      <c r="Y208" s="31"/>
      <c r="Z208" s="31"/>
      <c r="AA208" s="31"/>
    </row>
    <row r="209" ht="15.75" customHeight="1">
      <c r="Y209" s="31"/>
      <c r="Z209" s="31"/>
      <c r="AA209" s="31"/>
    </row>
    <row r="210" ht="15.75" customHeight="1">
      <c r="Y210" s="31"/>
      <c r="Z210" s="31"/>
      <c r="AA210" s="31"/>
    </row>
    <row r="211" ht="15.75" customHeight="1">
      <c r="Y211" s="31"/>
      <c r="Z211" s="31"/>
      <c r="AA211" s="31"/>
    </row>
    <row r="212" ht="15.75" customHeight="1">
      <c r="Y212" s="31"/>
      <c r="Z212" s="31"/>
      <c r="AA212" s="31"/>
    </row>
    <row r="213" ht="15.75" customHeight="1">
      <c r="Y213" s="31"/>
      <c r="Z213" s="31"/>
      <c r="AA213" s="31"/>
    </row>
    <row r="214" ht="15.75" customHeight="1">
      <c r="Y214" s="31"/>
      <c r="Z214" s="31"/>
      <c r="AA214" s="31"/>
    </row>
    <row r="215" ht="15.75" customHeight="1">
      <c r="Y215" s="31"/>
      <c r="Z215" s="31"/>
      <c r="AA215" s="31"/>
    </row>
    <row r="216" ht="15.75" customHeight="1">
      <c r="Y216" s="31"/>
      <c r="Z216" s="31"/>
      <c r="AA216" s="31"/>
    </row>
    <row r="217" ht="15.75" customHeight="1">
      <c r="Y217" s="31"/>
      <c r="Z217" s="31"/>
      <c r="AA217" s="31"/>
    </row>
    <row r="218" ht="15.75" customHeight="1">
      <c r="Y218" s="31"/>
      <c r="Z218" s="31"/>
      <c r="AA218" s="31"/>
    </row>
    <row r="219" ht="15.75" customHeight="1">
      <c r="Y219" s="31"/>
      <c r="Z219" s="31"/>
      <c r="AA219" s="31"/>
    </row>
    <row r="220" ht="15.75" customHeight="1">
      <c r="Y220" s="31"/>
      <c r="Z220" s="31"/>
      <c r="AA220" s="31"/>
    </row>
    <row r="221" ht="15.75" customHeight="1">
      <c r="Y221" s="31"/>
      <c r="Z221" s="31"/>
      <c r="AA221" s="31"/>
    </row>
    <row r="222" ht="15.75" customHeight="1">
      <c r="Y222" s="31"/>
      <c r="Z222" s="31"/>
      <c r="AA222" s="31"/>
    </row>
    <row r="223" ht="15.75" customHeight="1">
      <c r="Y223" s="31"/>
      <c r="Z223" s="31"/>
      <c r="AA223" s="31"/>
    </row>
    <row r="224" ht="15.75" customHeight="1">
      <c r="Y224" s="31"/>
      <c r="Z224" s="31"/>
      <c r="AA224" s="31"/>
    </row>
    <row r="225" ht="15.75" customHeight="1">
      <c r="Y225" s="31"/>
      <c r="Z225" s="31"/>
      <c r="AA225" s="31"/>
    </row>
    <row r="226" ht="15.75" customHeight="1">
      <c r="Y226" s="31"/>
      <c r="Z226" s="31"/>
      <c r="AA226" s="31"/>
    </row>
    <row r="227" ht="15.75" customHeight="1">
      <c r="Y227" s="31"/>
      <c r="Z227" s="31"/>
      <c r="AA227" s="31"/>
    </row>
    <row r="228" ht="15.75" customHeight="1">
      <c r="Y228" s="31"/>
      <c r="Z228" s="31"/>
      <c r="AA228" s="31"/>
    </row>
    <row r="229" ht="15.75" customHeight="1">
      <c r="Y229" s="31"/>
      <c r="Z229" s="31"/>
      <c r="AA229" s="31"/>
    </row>
    <row r="230" ht="15.75" customHeight="1">
      <c r="Y230" s="31"/>
      <c r="Z230" s="31"/>
      <c r="AA230" s="31"/>
    </row>
    <row r="231" ht="15.75" customHeight="1">
      <c r="Y231" s="31"/>
      <c r="Z231" s="31"/>
      <c r="AA231" s="31"/>
    </row>
    <row r="232" ht="15.75" customHeight="1">
      <c r="Y232" s="31"/>
      <c r="Z232" s="31"/>
      <c r="AA232" s="31"/>
    </row>
    <row r="233" ht="15.75" customHeight="1">
      <c r="Y233" s="31"/>
      <c r="Z233" s="31"/>
      <c r="AA233" s="31"/>
    </row>
    <row r="234" ht="15.75" customHeight="1">
      <c r="Y234" s="31"/>
      <c r="Z234" s="31"/>
      <c r="AA234" s="31"/>
    </row>
    <row r="235" ht="15.75" customHeight="1">
      <c r="Y235" s="31"/>
      <c r="Z235" s="31"/>
      <c r="AA235" s="31"/>
    </row>
    <row r="236" ht="15.75" customHeight="1">
      <c r="Y236" s="31"/>
      <c r="Z236" s="31"/>
      <c r="AA236" s="31"/>
    </row>
    <row r="237" ht="15.75" customHeight="1">
      <c r="Y237" s="31"/>
      <c r="Z237" s="31"/>
      <c r="AA237" s="31"/>
    </row>
    <row r="238" ht="15.75" customHeight="1">
      <c r="Y238" s="31"/>
      <c r="Z238" s="31"/>
      <c r="AA238" s="31"/>
    </row>
    <row r="239" ht="15.75" customHeight="1">
      <c r="Y239" s="31"/>
      <c r="Z239" s="31"/>
      <c r="AA239" s="31"/>
    </row>
    <row r="240" ht="15.75" customHeight="1">
      <c r="Y240" s="31"/>
      <c r="Z240" s="31"/>
      <c r="AA240" s="31"/>
    </row>
    <row r="241" ht="15.75" customHeight="1">
      <c r="Y241" s="31"/>
      <c r="Z241" s="31"/>
      <c r="AA241" s="31"/>
    </row>
    <row r="242" ht="15.75" customHeight="1">
      <c r="Y242" s="31"/>
      <c r="Z242" s="31"/>
      <c r="AA242" s="31"/>
    </row>
    <row r="243" ht="15.75" customHeight="1">
      <c r="Y243" s="31"/>
      <c r="Z243" s="31"/>
      <c r="AA243" s="31"/>
    </row>
    <row r="244" ht="15.75" customHeight="1">
      <c r="Y244" s="31"/>
      <c r="Z244" s="31"/>
      <c r="AA244" s="31"/>
    </row>
    <row r="245" ht="15.75" customHeight="1">
      <c r="Y245" s="31"/>
      <c r="Z245" s="31"/>
      <c r="AA245" s="31"/>
    </row>
    <row r="246" ht="15.75" customHeight="1">
      <c r="Y246" s="31"/>
      <c r="Z246" s="31"/>
      <c r="AA246" s="31"/>
    </row>
    <row r="247" ht="15.75" customHeight="1">
      <c r="Y247" s="31"/>
      <c r="Z247" s="31"/>
      <c r="AA247" s="31"/>
    </row>
    <row r="248" ht="15.75" customHeight="1">
      <c r="Y248" s="31"/>
      <c r="Z248" s="31"/>
      <c r="AA248" s="31"/>
    </row>
    <row r="249" ht="15.75" customHeight="1">
      <c r="Y249" s="31"/>
      <c r="Z249" s="31"/>
      <c r="AA249" s="31"/>
    </row>
    <row r="250" ht="15.75" customHeight="1">
      <c r="Y250" s="31"/>
      <c r="Z250" s="31"/>
      <c r="AA250" s="31"/>
    </row>
    <row r="251" ht="15.75" customHeight="1">
      <c r="Y251" s="31"/>
      <c r="Z251" s="31"/>
      <c r="AA251" s="31"/>
    </row>
    <row r="252" ht="15.75" customHeight="1">
      <c r="Y252" s="31"/>
      <c r="Z252" s="31"/>
      <c r="AA252" s="31"/>
    </row>
    <row r="253" ht="15.75" customHeight="1">
      <c r="Y253" s="31"/>
      <c r="Z253" s="31"/>
      <c r="AA253" s="31"/>
    </row>
    <row r="254" ht="15.75" customHeight="1">
      <c r="Y254" s="31"/>
      <c r="Z254" s="31"/>
      <c r="AA254" s="31"/>
    </row>
    <row r="255" ht="15.75" customHeight="1">
      <c r="Y255" s="31"/>
      <c r="Z255" s="31"/>
      <c r="AA255" s="31"/>
    </row>
    <row r="256" ht="15.75" customHeight="1">
      <c r="Y256" s="31"/>
      <c r="Z256" s="31"/>
      <c r="AA256" s="31"/>
    </row>
    <row r="257" ht="15.75" customHeight="1">
      <c r="Y257" s="31"/>
      <c r="Z257" s="31"/>
      <c r="AA257" s="31"/>
    </row>
    <row r="258" ht="15.75" customHeight="1">
      <c r="Y258" s="31"/>
      <c r="Z258" s="31"/>
      <c r="AA258" s="31"/>
    </row>
    <row r="259" ht="15.75" customHeight="1">
      <c r="Y259" s="31"/>
      <c r="Z259" s="31"/>
      <c r="AA259" s="31"/>
    </row>
    <row r="260" ht="15.75" customHeight="1">
      <c r="Y260" s="31"/>
      <c r="Z260" s="31"/>
      <c r="AA260" s="31"/>
    </row>
    <row r="261" ht="15.75" customHeight="1">
      <c r="Y261" s="31"/>
      <c r="Z261" s="31"/>
      <c r="AA261" s="31"/>
    </row>
    <row r="262" ht="15.75" customHeight="1">
      <c r="Y262" s="31"/>
      <c r="Z262" s="31"/>
      <c r="AA262" s="31"/>
    </row>
    <row r="263" ht="15.75" customHeight="1">
      <c r="Y263" s="31"/>
      <c r="Z263" s="31"/>
      <c r="AA263" s="31"/>
    </row>
    <row r="264" ht="15.75" customHeight="1">
      <c r="Y264" s="31"/>
      <c r="Z264" s="31"/>
      <c r="AA264" s="31"/>
    </row>
    <row r="265" ht="15.75" customHeight="1">
      <c r="Y265" s="31"/>
      <c r="Z265" s="31"/>
      <c r="AA265" s="31"/>
    </row>
    <row r="266" ht="15.75" customHeight="1">
      <c r="Y266" s="31"/>
      <c r="Z266" s="31"/>
      <c r="AA266" s="31"/>
    </row>
    <row r="267" ht="15.75" customHeight="1">
      <c r="Y267" s="31"/>
      <c r="Z267" s="31"/>
      <c r="AA267" s="31"/>
    </row>
    <row r="268" ht="15.75" customHeight="1">
      <c r="Y268" s="31"/>
      <c r="Z268" s="31"/>
      <c r="AA268" s="31"/>
    </row>
    <row r="269" ht="15.75" customHeight="1">
      <c r="Y269" s="31"/>
      <c r="Z269" s="31"/>
      <c r="AA269" s="31"/>
    </row>
    <row r="270" ht="15.75" customHeight="1">
      <c r="Y270" s="31"/>
      <c r="Z270" s="31"/>
      <c r="AA270" s="31"/>
    </row>
    <row r="271" ht="15.75" customHeight="1">
      <c r="Y271" s="31"/>
      <c r="Z271" s="31"/>
      <c r="AA271" s="31"/>
    </row>
    <row r="272" ht="15.75" customHeight="1">
      <c r="Y272" s="31"/>
      <c r="Z272" s="31"/>
      <c r="AA272" s="31"/>
    </row>
    <row r="273" ht="15.75" customHeight="1">
      <c r="Y273" s="31"/>
      <c r="Z273" s="31"/>
      <c r="AA273" s="31"/>
    </row>
    <row r="274" ht="15.75" customHeight="1">
      <c r="Y274" s="31"/>
      <c r="Z274" s="31"/>
      <c r="AA274" s="31"/>
    </row>
    <row r="275" ht="15.75" customHeight="1">
      <c r="Y275" s="31"/>
      <c r="Z275" s="31"/>
      <c r="AA275" s="31"/>
    </row>
    <row r="276" ht="15.75" customHeight="1">
      <c r="Y276" s="31"/>
      <c r="Z276" s="31"/>
      <c r="AA276" s="31"/>
    </row>
    <row r="277" ht="15.75" customHeight="1">
      <c r="Y277" s="31"/>
      <c r="Z277" s="31"/>
      <c r="AA277" s="31"/>
    </row>
    <row r="278" ht="15.75" customHeight="1">
      <c r="Y278" s="31"/>
      <c r="Z278" s="31"/>
      <c r="AA278" s="31"/>
    </row>
    <row r="279" ht="15.75" customHeight="1">
      <c r="Y279" s="31"/>
      <c r="Z279" s="31"/>
      <c r="AA279" s="31"/>
    </row>
    <row r="280" ht="15.75" customHeight="1">
      <c r="Y280" s="31"/>
      <c r="Z280" s="31"/>
      <c r="AA280" s="31"/>
    </row>
    <row r="281" ht="15.75" customHeight="1">
      <c r="Y281" s="31"/>
      <c r="Z281" s="31"/>
      <c r="AA281" s="31"/>
    </row>
    <row r="282" ht="15.75" customHeight="1">
      <c r="Y282" s="31"/>
      <c r="Z282" s="31"/>
      <c r="AA282" s="31"/>
    </row>
    <row r="283" ht="15.75" customHeight="1">
      <c r="Y283" s="31"/>
      <c r="Z283" s="31"/>
      <c r="AA283" s="31"/>
    </row>
    <row r="284" ht="15.75" customHeight="1">
      <c r="Y284" s="31"/>
      <c r="Z284" s="31"/>
      <c r="AA284" s="31"/>
    </row>
    <row r="285" ht="15.75" customHeight="1">
      <c r="Y285" s="31"/>
      <c r="Z285" s="31"/>
      <c r="AA285" s="31"/>
    </row>
    <row r="286" ht="15.75" customHeight="1">
      <c r="Y286" s="31"/>
      <c r="Z286" s="31"/>
      <c r="AA286" s="31"/>
    </row>
    <row r="287" ht="15.75" customHeight="1">
      <c r="Y287" s="31"/>
      <c r="Z287" s="31"/>
      <c r="AA287" s="31"/>
    </row>
    <row r="288" ht="15.75" customHeight="1">
      <c r="Y288" s="31"/>
      <c r="Z288" s="31"/>
      <c r="AA288" s="31"/>
    </row>
    <row r="289" ht="15.75" customHeight="1">
      <c r="Y289" s="31"/>
      <c r="Z289" s="31"/>
      <c r="AA289" s="31"/>
    </row>
    <row r="290" ht="15.75" customHeight="1">
      <c r="Y290" s="31"/>
      <c r="Z290" s="31"/>
      <c r="AA290" s="31"/>
    </row>
    <row r="291" ht="15.75" customHeight="1">
      <c r="Y291" s="31"/>
      <c r="Z291" s="31"/>
      <c r="AA291" s="31"/>
    </row>
    <row r="292" ht="15.75" customHeight="1">
      <c r="Y292" s="31"/>
      <c r="Z292" s="31"/>
      <c r="AA292" s="31"/>
    </row>
    <row r="293" ht="15.75" customHeight="1">
      <c r="Y293" s="31"/>
      <c r="Z293" s="31"/>
      <c r="AA293" s="31"/>
    </row>
    <row r="294" ht="15.75" customHeight="1">
      <c r="Y294" s="31"/>
      <c r="Z294" s="31"/>
      <c r="AA294" s="31"/>
    </row>
    <row r="295" ht="15.75" customHeight="1">
      <c r="Y295" s="31"/>
      <c r="Z295" s="31"/>
      <c r="AA295" s="31"/>
    </row>
    <row r="296" ht="15.75" customHeight="1">
      <c r="Y296" s="31"/>
      <c r="Z296" s="31"/>
      <c r="AA296" s="31"/>
    </row>
    <row r="297" ht="15.75" customHeight="1">
      <c r="Y297" s="31"/>
      <c r="Z297" s="31"/>
      <c r="AA297" s="31"/>
    </row>
    <row r="298" ht="15.75" customHeight="1">
      <c r="Y298" s="31"/>
      <c r="Z298" s="31"/>
      <c r="AA298" s="31"/>
    </row>
    <row r="299" ht="15.75" customHeight="1">
      <c r="Y299" s="31"/>
      <c r="Z299" s="31"/>
      <c r="AA299" s="31"/>
    </row>
    <row r="300" ht="15.75" customHeight="1">
      <c r="Y300" s="31"/>
      <c r="Z300" s="31"/>
      <c r="AA300" s="31"/>
    </row>
    <row r="301" ht="15.75" customHeight="1">
      <c r="Y301" s="31"/>
      <c r="Z301" s="31"/>
      <c r="AA301" s="31"/>
    </row>
    <row r="302" ht="15.75" customHeight="1">
      <c r="Y302" s="31"/>
      <c r="Z302" s="31"/>
      <c r="AA302" s="31"/>
    </row>
    <row r="303" ht="15.75" customHeight="1">
      <c r="Y303" s="31"/>
      <c r="Z303" s="31"/>
      <c r="AA303" s="31"/>
    </row>
    <row r="304" ht="15.75" customHeight="1">
      <c r="Y304" s="31"/>
      <c r="Z304" s="31"/>
      <c r="AA304" s="31"/>
    </row>
    <row r="305" ht="15.75" customHeight="1">
      <c r="Y305" s="31"/>
      <c r="Z305" s="31"/>
      <c r="AA305" s="31"/>
    </row>
    <row r="306" ht="15.75" customHeight="1">
      <c r="Y306" s="31"/>
      <c r="Z306" s="31"/>
      <c r="AA306" s="31"/>
    </row>
    <row r="307" ht="15.75" customHeight="1">
      <c r="Y307" s="31"/>
      <c r="Z307" s="31"/>
      <c r="AA307" s="31"/>
    </row>
    <row r="308" ht="15.75" customHeight="1">
      <c r="Y308" s="31"/>
      <c r="Z308" s="31"/>
      <c r="AA308" s="31"/>
    </row>
    <row r="309" ht="15.75" customHeight="1">
      <c r="Y309" s="31"/>
      <c r="Z309" s="31"/>
      <c r="AA309" s="31"/>
    </row>
    <row r="310" ht="15.75" customHeight="1">
      <c r="Y310" s="31"/>
      <c r="Z310" s="31"/>
      <c r="AA310" s="31"/>
    </row>
    <row r="311" ht="15.75" customHeight="1">
      <c r="Y311" s="31"/>
      <c r="Z311" s="31"/>
      <c r="AA311" s="31"/>
    </row>
    <row r="312" ht="15.75" customHeight="1">
      <c r="Y312" s="31"/>
      <c r="Z312" s="31"/>
      <c r="AA312" s="31"/>
    </row>
    <row r="313" ht="15.75" customHeight="1">
      <c r="Y313" s="31"/>
      <c r="Z313" s="31"/>
      <c r="AA313" s="31"/>
    </row>
    <row r="314" ht="15.75" customHeight="1">
      <c r="Y314" s="31"/>
      <c r="Z314" s="31"/>
      <c r="AA314" s="31"/>
    </row>
    <row r="315" ht="15.75" customHeight="1">
      <c r="Y315" s="31"/>
      <c r="Z315" s="31"/>
      <c r="AA315" s="31"/>
    </row>
    <row r="316" ht="15.75" customHeight="1">
      <c r="Y316" s="31"/>
      <c r="Z316" s="31"/>
      <c r="AA316" s="31"/>
    </row>
    <row r="317" ht="15.75" customHeight="1">
      <c r="Y317" s="31"/>
      <c r="Z317" s="31"/>
      <c r="AA317" s="31"/>
    </row>
    <row r="318" ht="15.75" customHeight="1">
      <c r="Y318" s="31"/>
      <c r="Z318" s="31"/>
      <c r="AA318" s="31"/>
    </row>
    <row r="319" ht="15.75" customHeight="1">
      <c r="Y319" s="31"/>
      <c r="Z319" s="31"/>
      <c r="AA319" s="31"/>
    </row>
    <row r="320" ht="15.75" customHeight="1">
      <c r="Y320" s="31"/>
      <c r="Z320" s="31"/>
      <c r="AA320" s="31"/>
    </row>
    <row r="321" ht="15.75" customHeight="1">
      <c r="Y321" s="31"/>
      <c r="Z321" s="31"/>
      <c r="AA321" s="31"/>
    </row>
    <row r="322" ht="15.75" customHeight="1">
      <c r="Y322" s="31"/>
      <c r="Z322" s="31"/>
      <c r="AA322" s="31"/>
    </row>
    <row r="323" ht="15.75" customHeight="1">
      <c r="Y323" s="31"/>
      <c r="Z323" s="31"/>
      <c r="AA323" s="31"/>
    </row>
    <row r="324" ht="15.75" customHeight="1">
      <c r="Y324" s="31"/>
      <c r="Z324" s="31"/>
      <c r="AA324" s="31"/>
    </row>
    <row r="325" ht="15.75" customHeight="1">
      <c r="Y325" s="31"/>
      <c r="Z325" s="31"/>
      <c r="AA325" s="31"/>
    </row>
    <row r="326" ht="15.75" customHeight="1">
      <c r="Y326" s="31"/>
      <c r="Z326" s="31"/>
      <c r="AA326" s="31"/>
    </row>
    <row r="327" ht="15.75" customHeight="1">
      <c r="Y327" s="31"/>
      <c r="Z327" s="31"/>
      <c r="AA327" s="31"/>
    </row>
    <row r="328" ht="15.75" customHeight="1">
      <c r="Y328" s="31"/>
      <c r="Z328" s="31"/>
      <c r="AA328" s="31"/>
    </row>
    <row r="329" ht="15.75" customHeight="1">
      <c r="Y329" s="31"/>
      <c r="Z329" s="31"/>
      <c r="AA329" s="31"/>
    </row>
    <row r="330" ht="15.75" customHeight="1">
      <c r="Y330" s="31"/>
      <c r="Z330" s="31"/>
      <c r="AA330" s="31"/>
    </row>
    <row r="331" ht="15.75" customHeight="1">
      <c r="Y331" s="31"/>
      <c r="Z331" s="31"/>
      <c r="AA331" s="31"/>
    </row>
    <row r="332" ht="15.75" customHeight="1">
      <c r="Y332" s="31"/>
      <c r="Z332" s="31"/>
      <c r="AA332" s="31"/>
    </row>
    <row r="333" ht="15.75" customHeight="1">
      <c r="Y333" s="31"/>
      <c r="Z333" s="31"/>
      <c r="AA333" s="31"/>
    </row>
    <row r="334" ht="15.75" customHeight="1">
      <c r="Y334" s="31"/>
      <c r="Z334" s="31"/>
      <c r="AA334" s="31"/>
    </row>
    <row r="335" ht="15.75" customHeight="1">
      <c r="Y335" s="31"/>
      <c r="Z335" s="31"/>
      <c r="AA335" s="31"/>
    </row>
    <row r="336" ht="15.75" customHeight="1">
      <c r="Y336" s="31"/>
      <c r="Z336" s="31"/>
      <c r="AA336" s="31"/>
    </row>
    <row r="337" ht="15.75" customHeight="1">
      <c r="Y337" s="31"/>
      <c r="Z337" s="31"/>
      <c r="AA337" s="31"/>
    </row>
    <row r="338" ht="15.75" customHeight="1">
      <c r="Y338" s="31"/>
      <c r="Z338" s="31"/>
      <c r="AA338" s="31"/>
    </row>
    <row r="339" ht="15.75" customHeight="1">
      <c r="Y339" s="31"/>
      <c r="Z339" s="31"/>
      <c r="AA339" s="31"/>
    </row>
    <row r="340" ht="15.75" customHeight="1">
      <c r="Y340" s="31"/>
      <c r="Z340" s="31"/>
      <c r="AA340" s="31"/>
    </row>
    <row r="341" ht="15.75" customHeight="1">
      <c r="Y341" s="31"/>
      <c r="Z341" s="31"/>
      <c r="AA341" s="31"/>
    </row>
    <row r="342" ht="15.75" customHeight="1">
      <c r="Y342" s="31"/>
      <c r="Z342" s="31"/>
      <c r="AA342" s="31"/>
    </row>
    <row r="343" ht="15.75" customHeight="1">
      <c r="Y343" s="31"/>
      <c r="Z343" s="31"/>
      <c r="AA343" s="31"/>
    </row>
    <row r="344" ht="15.75" customHeight="1">
      <c r="Y344" s="31"/>
      <c r="Z344" s="31"/>
      <c r="AA344" s="31"/>
    </row>
    <row r="345" ht="15.75" customHeight="1">
      <c r="Y345" s="31"/>
      <c r="Z345" s="31"/>
      <c r="AA345" s="31"/>
    </row>
    <row r="346" ht="15.75" customHeight="1">
      <c r="Y346" s="31"/>
      <c r="Z346" s="31"/>
      <c r="AA346" s="31"/>
    </row>
    <row r="347" ht="15.75" customHeight="1">
      <c r="Y347" s="31"/>
      <c r="Z347" s="31"/>
      <c r="AA347" s="31"/>
    </row>
    <row r="348" ht="15.75" customHeight="1">
      <c r="Y348" s="31"/>
      <c r="Z348" s="31"/>
      <c r="AA348" s="31"/>
    </row>
    <row r="349" ht="15.75" customHeight="1">
      <c r="Y349" s="31"/>
      <c r="Z349" s="31"/>
      <c r="AA349" s="31"/>
    </row>
    <row r="350" ht="15.75" customHeight="1">
      <c r="Y350" s="31"/>
      <c r="Z350" s="31"/>
      <c r="AA350" s="31"/>
    </row>
    <row r="351" ht="15.75" customHeight="1">
      <c r="Y351" s="31"/>
      <c r="Z351" s="31"/>
      <c r="AA351" s="31"/>
    </row>
    <row r="352" ht="15.75" customHeight="1">
      <c r="Y352" s="31"/>
      <c r="Z352" s="31"/>
      <c r="AA352" s="31"/>
    </row>
    <row r="353" ht="15.75" customHeight="1">
      <c r="Y353" s="31"/>
      <c r="Z353" s="31"/>
      <c r="AA353" s="31"/>
    </row>
    <row r="354" ht="15.75" customHeight="1">
      <c r="Y354" s="31"/>
      <c r="Z354" s="31"/>
      <c r="AA354" s="31"/>
    </row>
    <row r="355" ht="15.75" customHeight="1">
      <c r="Y355" s="31"/>
      <c r="Z355" s="31"/>
      <c r="AA355" s="31"/>
    </row>
    <row r="356" ht="15.75" customHeight="1">
      <c r="Y356" s="31"/>
      <c r="Z356" s="31"/>
      <c r="AA356" s="31"/>
    </row>
    <row r="357" ht="15.75" customHeight="1">
      <c r="Y357" s="31"/>
      <c r="Z357" s="31"/>
      <c r="AA357" s="31"/>
    </row>
    <row r="358" ht="15.75" customHeight="1">
      <c r="Y358" s="31"/>
      <c r="Z358" s="31"/>
      <c r="AA358" s="31"/>
    </row>
    <row r="359" ht="15.75" customHeight="1">
      <c r="Y359" s="31"/>
      <c r="Z359" s="31"/>
      <c r="AA359" s="31"/>
    </row>
    <row r="360" ht="15.75" customHeight="1">
      <c r="Y360" s="31"/>
      <c r="Z360" s="31"/>
      <c r="AA360" s="31"/>
    </row>
    <row r="361" ht="15.75" customHeight="1">
      <c r="Y361" s="31"/>
      <c r="Z361" s="31"/>
      <c r="AA361" s="31"/>
    </row>
    <row r="362" ht="15.75" customHeight="1">
      <c r="Y362" s="31"/>
      <c r="Z362" s="31"/>
      <c r="AA362" s="31"/>
    </row>
    <row r="363" ht="15.75" customHeight="1">
      <c r="Y363" s="31"/>
      <c r="Z363" s="31"/>
      <c r="AA363" s="31"/>
    </row>
    <row r="364" ht="15.75" customHeight="1">
      <c r="Y364" s="31"/>
      <c r="Z364" s="31"/>
      <c r="AA364" s="31"/>
    </row>
    <row r="365" ht="15.75" customHeight="1">
      <c r="Y365" s="31"/>
      <c r="Z365" s="31"/>
      <c r="AA365" s="31"/>
    </row>
    <row r="366" ht="15.75" customHeight="1">
      <c r="Y366" s="31"/>
      <c r="Z366" s="31"/>
      <c r="AA366" s="31"/>
    </row>
    <row r="367" ht="15.75" customHeight="1">
      <c r="Y367" s="31"/>
      <c r="Z367" s="31"/>
      <c r="AA367" s="31"/>
    </row>
    <row r="368" ht="15.75" customHeight="1">
      <c r="Y368" s="31"/>
      <c r="Z368" s="31"/>
      <c r="AA368" s="31"/>
    </row>
    <row r="369" ht="15.75" customHeight="1">
      <c r="Y369" s="31"/>
      <c r="Z369" s="31"/>
      <c r="AA369" s="31"/>
    </row>
    <row r="370" ht="15.75" customHeight="1">
      <c r="Y370" s="31"/>
      <c r="Z370" s="31"/>
      <c r="AA370" s="31"/>
    </row>
    <row r="371" ht="15.75" customHeight="1">
      <c r="Y371" s="31"/>
      <c r="Z371" s="31"/>
      <c r="AA371" s="31"/>
    </row>
    <row r="372" ht="15.75" customHeight="1">
      <c r="Y372" s="31"/>
      <c r="Z372" s="31"/>
      <c r="AA372" s="31"/>
    </row>
    <row r="373" ht="15.75" customHeight="1">
      <c r="Y373" s="31"/>
      <c r="Z373" s="31"/>
      <c r="AA373" s="31"/>
    </row>
    <row r="374" ht="15.75" customHeight="1">
      <c r="Y374" s="31"/>
      <c r="Z374" s="31"/>
      <c r="AA374" s="31"/>
    </row>
    <row r="375" ht="15.75" customHeight="1">
      <c r="Y375" s="31"/>
      <c r="Z375" s="31"/>
      <c r="AA375" s="31"/>
    </row>
    <row r="376" ht="15.75" customHeight="1">
      <c r="Y376" s="31"/>
      <c r="Z376" s="31"/>
      <c r="AA376" s="31"/>
    </row>
    <row r="377" ht="15.75" customHeight="1">
      <c r="Y377" s="31"/>
      <c r="Z377" s="31"/>
      <c r="AA377" s="31"/>
    </row>
    <row r="378" ht="15.75" customHeight="1">
      <c r="Y378" s="31"/>
      <c r="Z378" s="31"/>
      <c r="AA378" s="31"/>
    </row>
    <row r="379" ht="15.75" customHeight="1">
      <c r="Y379" s="31"/>
      <c r="Z379" s="31"/>
      <c r="AA379" s="31"/>
    </row>
    <row r="380" ht="15.75" customHeight="1">
      <c r="Y380" s="31"/>
      <c r="Z380" s="31"/>
      <c r="AA380" s="31"/>
    </row>
    <row r="381" ht="15.75" customHeight="1">
      <c r="Y381" s="31"/>
      <c r="Z381" s="31"/>
      <c r="AA381" s="31"/>
    </row>
    <row r="382" ht="15.75" customHeight="1">
      <c r="Y382" s="31"/>
      <c r="Z382" s="31"/>
      <c r="AA382" s="31"/>
    </row>
    <row r="383" ht="15.75" customHeight="1">
      <c r="Y383" s="31"/>
      <c r="Z383" s="31"/>
      <c r="AA383" s="31"/>
    </row>
    <row r="384" ht="15.75" customHeight="1">
      <c r="Y384" s="31"/>
      <c r="Z384" s="31"/>
      <c r="AA384" s="31"/>
    </row>
    <row r="385" ht="15.75" customHeight="1">
      <c r="Y385" s="31"/>
      <c r="Z385" s="31"/>
      <c r="AA385" s="31"/>
    </row>
    <row r="386" ht="15.75" customHeight="1">
      <c r="Y386" s="31"/>
      <c r="Z386" s="31"/>
      <c r="AA386" s="31"/>
    </row>
    <row r="387" ht="15.75" customHeight="1">
      <c r="Y387" s="31"/>
      <c r="Z387" s="31"/>
      <c r="AA387" s="31"/>
    </row>
    <row r="388" ht="15.75" customHeight="1">
      <c r="Y388" s="31"/>
      <c r="Z388" s="31"/>
      <c r="AA388" s="31"/>
    </row>
    <row r="389" ht="15.75" customHeight="1">
      <c r="Y389" s="31"/>
      <c r="Z389" s="31"/>
      <c r="AA389" s="31"/>
    </row>
    <row r="390" ht="15.75" customHeight="1">
      <c r="Y390" s="31"/>
      <c r="Z390" s="31"/>
      <c r="AA390" s="31"/>
    </row>
    <row r="391" ht="15.75" customHeight="1">
      <c r="Y391" s="31"/>
      <c r="Z391" s="31"/>
      <c r="AA391" s="31"/>
    </row>
    <row r="392" ht="15.75" customHeight="1">
      <c r="Y392" s="31"/>
      <c r="Z392" s="31"/>
      <c r="AA392" s="31"/>
    </row>
    <row r="393" ht="15.75" customHeight="1">
      <c r="Y393" s="31"/>
      <c r="Z393" s="31"/>
      <c r="AA393" s="31"/>
    </row>
    <row r="394" ht="15.75" customHeight="1">
      <c r="Y394" s="31"/>
      <c r="Z394" s="31"/>
      <c r="AA394" s="31"/>
    </row>
    <row r="395" ht="15.75" customHeight="1">
      <c r="Y395" s="31"/>
      <c r="Z395" s="31"/>
      <c r="AA395" s="31"/>
    </row>
    <row r="396" ht="15.75" customHeight="1">
      <c r="Y396" s="31"/>
      <c r="Z396" s="31"/>
      <c r="AA396" s="31"/>
    </row>
    <row r="397" ht="15.75" customHeight="1">
      <c r="Y397" s="31"/>
      <c r="Z397" s="31"/>
      <c r="AA397" s="31"/>
    </row>
    <row r="398" ht="15.75" customHeight="1">
      <c r="Y398" s="31"/>
      <c r="Z398" s="31"/>
      <c r="AA398" s="31"/>
    </row>
    <row r="399" ht="15.75" customHeight="1">
      <c r="Y399" s="31"/>
      <c r="Z399" s="31"/>
      <c r="AA399" s="31"/>
    </row>
    <row r="400" ht="15.75" customHeight="1">
      <c r="Y400" s="31"/>
      <c r="Z400" s="31"/>
      <c r="AA400" s="31"/>
    </row>
    <row r="401" ht="15.75" customHeight="1">
      <c r="Y401" s="31"/>
      <c r="Z401" s="31"/>
      <c r="AA401" s="31"/>
    </row>
    <row r="402" ht="15.75" customHeight="1">
      <c r="Y402" s="31"/>
      <c r="Z402" s="31"/>
      <c r="AA402" s="31"/>
    </row>
    <row r="403" ht="15.75" customHeight="1">
      <c r="Y403" s="31"/>
      <c r="Z403" s="31"/>
      <c r="AA403" s="31"/>
    </row>
    <row r="404" ht="15.75" customHeight="1">
      <c r="Y404" s="31"/>
      <c r="Z404" s="31"/>
      <c r="AA404" s="31"/>
    </row>
    <row r="405" ht="15.75" customHeight="1">
      <c r="Y405" s="31"/>
      <c r="Z405" s="31"/>
      <c r="AA405" s="31"/>
    </row>
    <row r="406" ht="15.75" customHeight="1">
      <c r="Y406" s="31"/>
      <c r="Z406" s="31"/>
      <c r="AA406" s="31"/>
    </row>
    <row r="407" ht="15.75" customHeight="1">
      <c r="Y407" s="31"/>
      <c r="Z407" s="31"/>
      <c r="AA407" s="31"/>
    </row>
    <row r="408" ht="15.75" customHeight="1">
      <c r="Y408" s="31"/>
      <c r="Z408" s="31"/>
      <c r="AA408" s="31"/>
    </row>
    <row r="409" ht="15.75" customHeight="1">
      <c r="Y409" s="31"/>
      <c r="Z409" s="31"/>
      <c r="AA409" s="31"/>
    </row>
    <row r="410" ht="15.75" customHeight="1">
      <c r="Y410" s="31"/>
      <c r="Z410" s="31"/>
      <c r="AA410" s="31"/>
    </row>
    <row r="411" ht="15.75" customHeight="1">
      <c r="Y411" s="31"/>
      <c r="Z411" s="31"/>
      <c r="AA411" s="31"/>
    </row>
    <row r="412" ht="15.75" customHeight="1">
      <c r="Y412" s="31"/>
      <c r="Z412" s="31"/>
      <c r="AA412" s="31"/>
    </row>
    <row r="413" ht="15.75" customHeight="1">
      <c r="Y413" s="31"/>
      <c r="Z413" s="31"/>
      <c r="AA413" s="31"/>
    </row>
    <row r="414" ht="15.75" customHeight="1">
      <c r="Y414" s="31"/>
      <c r="Z414" s="31"/>
      <c r="AA414" s="31"/>
    </row>
    <row r="415" ht="15.75" customHeight="1">
      <c r="Y415" s="31"/>
      <c r="Z415" s="31"/>
      <c r="AA415" s="31"/>
    </row>
    <row r="416" ht="15.75" customHeight="1">
      <c r="Y416" s="31"/>
      <c r="Z416" s="31"/>
      <c r="AA416" s="31"/>
    </row>
    <row r="417" ht="15.75" customHeight="1">
      <c r="Y417" s="31"/>
      <c r="Z417" s="31"/>
      <c r="AA417" s="31"/>
    </row>
    <row r="418" ht="15.75" customHeight="1">
      <c r="Y418" s="31"/>
      <c r="Z418" s="31"/>
      <c r="AA418" s="31"/>
    </row>
    <row r="419" ht="15.75" customHeight="1">
      <c r="Y419" s="31"/>
      <c r="Z419" s="31"/>
      <c r="AA419" s="31"/>
    </row>
    <row r="420" ht="15.75" customHeight="1">
      <c r="Y420" s="31"/>
      <c r="Z420" s="31"/>
      <c r="AA420" s="31"/>
    </row>
    <row r="421" ht="15.75" customHeight="1">
      <c r="Y421" s="31"/>
      <c r="Z421" s="31"/>
      <c r="AA421" s="31"/>
    </row>
    <row r="422" ht="15.75" customHeight="1">
      <c r="Y422" s="31"/>
      <c r="Z422" s="31"/>
      <c r="AA422" s="31"/>
    </row>
    <row r="423" ht="15.75" customHeight="1">
      <c r="Y423" s="31"/>
      <c r="Z423" s="31"/>
      <c r="AA423" s="31"/>
    </row>
    <row r="424" ht="15.75" customHeight="1">
      <c r="Y424" s="31"/>
      <c r="Z424" s="31"/>
      <c r="AA424" s="31"/>
    </row>
    <row r="425" ht="15.75" customHeight="1">
      <c r="Y425" s="31"/>
      <c r="Z425" s="31"/>
      <c r="AA425" s="31"/>
    </row>
    <row r="426" ht="15.75" customHeight="1">
      <c r="Y426" s="31"/>
      <c r="Z426" s="31"/>
      <c r="AA426" s="31"/>
    </row>
    <row r="427" ht="15.75" customHeight="1">
      <c r="Y427" s="31"/>
      <c r="Z427" s="31"/>
      <c r="AA427" s="31"/>
    </row>
    <row r="428" ht="15.75" customHeight="1">
      <c r="Y428" s="31"/>
      <c r="Z428" s="31"/>
      <c r="AA428" s="31"/>
    </row>
    <row r="429" ht="15.75" customHeight="1">
      <c r="Y429" s="31"/>
      <c r="Z429" s="31"/>
      <c r="AA429" s="31"/>
    </row>
    <row r="430" ht="15.75" customHeight="1">
      <c r="Y430" s="31"/>
      <c r="Z430" s="31"/>
      <c r="AA430" s="31"/>
    </row>
    <row r="431" ht="15.75" customHeight="1">
      <c r="Y431" s="31"/>
      <c r="Z431" s="31"/>
      <c r="AA431" s="31"/>
    </row>
    <row r="432" ht="15.75" customHeight="1">
      <c r="Y432" s="31"/>
      <c r="Z432" s="31"/>
      <c r="AA432" s="31"/>
    </row>
    <row r="433" ht="15.75" customHeight="1">
      <c r="Y433" s="31"/>
      <c r="Z433" s="31"/>
      <c r="AA433" s="31"/>
    </row>
    <row r="434" ht="15.75" customHeight="1">
      <c r="Y434" s="31"/>
      <c r="Z434" s="31"/>
      <c r="AA434" s="31"/>
    </row>
    <row r="435" ht="15.75" customHeight="1">
      <c r="Y435" s="31"/>
      <c r="Z435" s="31"/>
      <c r="AA435" s="31"/>
    </row>
    <row r="436" ht="15.75" customHeight="1">
      <c r="Y436" s="31"/>
      <c r="Z436" s="31"/>
      <c r="AA436" s="31"/>
    </row>
    <row r="437" ht="15.75" customHeight="1">
      <c r="Y437" s="31"/>
      <c r="Z437" s="31"/>
      <c r="AA437" s="31"/>
    </row>
    <row r="438" ht="15.75" customHeight="1">
      <c r="Y438" s="31"/>
      <c r="Z438" s="31"/>
      <c r="AA438" s="31"/>
    </row>
    <row r="439" ht="15.75" customHeight="1">
      <c r="Y439" s="31"/>
      <c r="Z439" s="31"/>
      <c r="AA439" s="31"/>
    </row>
    <row r="440" ht="15.75" customHeight="1">
      <c r="Y440" s="31"/>
      <c r="Z440" s="31"/>
      <c r="AA440" s="31"/>
    </row>
    <row r="441" ht="15.75" customHeight="1">
      <c r="Y441" s="31"/>
      <c r="Z441" s="31"/>
      <c r="AA441" s="31"/>
    </row>
    <row r="442" ht="15.75" customHeight="1">
      <c r="Y442" s="31"/>
      <c r="Z442" s="31"/>
      <c r="AA442" s="31"/>
    </row>
    <row r="443" ht="15.75" customHeight="1">
      <c r="Y443" s="31"/>
      <c r="Z443" s="31"/>
      <c r="AA443" s="31"/>
    </row>
    <row r="444" ht="15.75" customHeight="1">
      <c r="Y444" s="31"/>
      <c r="Z444" s="31"/>
      <c r="AA444" s="31"/>
    </row>
    <row r="445" ht="15.75" customHeight="1">
      <c r="Y445" s="31"/>
      <c r="Z445" s="31"/>
      <c r="AA445" s="31"/>
    </row>
    <row r="446" ht="15.75" customHeight="1">
      <c r="Y446" s="31"/>
      <c r="Z446" s="31"/>
      <c r="AA446" s="31"/>
    </row>
    <row r="447" ht="15.75" customHeight="1">
      <c r="Y447" s="31"/>
      <c r="Z447" s="31"/>
      <c r="AA447" s="31"/>
    </row>
    <row r="448" ht="15.75" customHeight="1">
      <c r="Y448" s="31"/>
      <c r="Z448" s="31"/>
      <c r="AA448" s="31"/>
    </row>
    <row r="449" ht="15.75" customHeight="1">
      <c r="Y449" s="31"/>
      <c r="Z449" s="31"/>
      <c r="AA449" s="31"/>
    </row>
    <row r="450" ht="15.75" customHeight="1">
      <c r="Y450" s="31"/>
      <c r="Z450" s="31"/>
      <c r="AA450" s="31"/>
    </row>
    <row r="451" ht="15.75" customHeight="1">
      <c r="Y451" s="31"/>
      <c r="Z451" s="31"/>
      <c r="AA451" s="31"/>
    </row>
    <row r="452" ht="15.75" customHeight="1">
      <c r="Y452" s="31"/>
      <c r="Z452" s="31"/>
      <c r="AA452" s="31"/>
    </row>
    <row r="453" ht="15.75" customHeight="1">
      <c r="Y453" s="31"/>
      <c r="Z453" s="31"/>
      <c r="AA453" s="31"/>
    </row>
    <row r="454" ht="15.75" customHeight="1">
      <c r="Y454" s="31"/>
      <c r="Z454" s="31"/>
      <c r="AA454" s="31"/>
    </row>
    <row r="455" ht="15.75" customHeight="1">
      <c r="Y455" s="31"/>
      <c r="Z455" s="31"/>
      <c r="AA455" s="31"/>
    </row>
    <row r="456" ht="15.75" customHeight="1">
      <c r="Y456" s="31"/>
      <c r="Z456" s="31"/>
      <c r="AA456" s="31"/>
    </row>
    <row r="457" ht="15.75" customHeight="1">
      <c r="Y457" s="31"/>
      <c r="Z457" s="31"/>
      <c r="AA457" s="31"/>
    </row>
    <row r="458" ht="15.75" customHeight="1">
      <c r="Y458" s="31"/>
      <c r="Z458" s="31"/>
      <c r="AA458" s="31"/>
    </row>
    <row r="459" ht="15.75" customHeight="1">
      <c r="Y459" s="31"/>
      <c r="Z459" s="31"/>
      <c r="AA459" s="31"/>
    </row>
    <row r="460" ht="15.75" customHeight="1">
      <c r="Y460" s="31"/>
      <c r="Z460" s="31"/>
      <c r="AA460" s="31"/>
    </row>
    <row r="461" ht="15.75" customHeight="1">
      <c r="Y461" s="31"/>
      <c r="Z461" s="31"/>
      <c r="AA461" s="31"/>
    </row>
    <row r="462" ht="15.75" customHeight="1">
      <c r="Y462" s="31"/>
      <c r="Z462" s="31"/>
      <c r="AA462" s="31"/>
    </row>
    <row r="463" ht="15.75" customHeight="1">
      <c r="Y463" s="31"/>
      <c r="Z463" s="31"/>
      <c r="AA463" s="31"/>
    </row>
    <row r="464" ht="15.75" customHeight="1">
      <c r="Y464" s="31"/>
      <c r="Z464" s="31"/>
      <c r="AA464" s="31"/>
    </row>
    <row r="465" ht="15.75" customHeight="1">
      <c r="Y465" s="31"/>
      <c r="Z465" s="31"/>
      <c r="AA465" s="31"/>
    </row>
    <row r="466" ht="15.75" customHeight="1">
      <c r="Y466" s="31"/>
      <c r="Z466" s="31"/>
      <c r="AA466" s="31"/>
    </row>
    <row r="467" ht="15.75" customHeight="1">
      <c r="Y467" s="31"/>
      <c r="Z467" s="31"/>
      <c r="AA467" s="31"/>
    </row>
    <row r="468" ht="15.75" customHeight="1">
      <c r="Y468" s="31"/>
      <c r="Z468" s="31"/>
      <c r="AA468" s="31"/>
    </row>
    <row r="469" ht="15.75" customHeight="1">
      <c r="Y469" s="31"/>
      <c r="Z469" s="31"/>
      <c r="AA469" s="31"/>
    </row>
    <row r="470" ht="15.75" customHeight="1">
      <c r="Y470" s="31"/>
      <c r="Z470" s="31"/>
      <c r="AA470" s="31"/>
    </row>
    <row r="471" ht="15.75" customHeight="1">
      <c r="Y471" s="31"/>
      <c r="Z471" s="31"/>
      <c r="AA471" s="31"/>
    </row>
    <row r="472" ht="15.75" customHeight="1">
      <c r="Y472" s="31"/>
      <c r="Z472" s="31"/>
      <c r="AA472" s="31"/>
    </row>
    <row r="473" ht="15.75" customHeight="1">
      <c r="Y473" s="31"/>
      <c r="Z473" s="31"/>
      <c r="AA473" s="31"/>
    </row>
    <row r="474" ht="15.75" customHeight="1">
      <c r="Y474" s="31"/>
      <c r="Z474" s="31"/>
      <c r="AA474" s="31"/>
    </row>
    <row r="475" ht="15.75" customHeight="1">
      <c r="Y475" s="31"/>
      <c r="Z475" s="31"/>
      <c r="AA475" s="31"/>
    </row>
    <row r="476" ht="15.75" customHeight="1">
      <c r="Y476" s="31"/>
      <c r="Z476" s="31"/>
      <c r="AA476" s="31"/>
    </row>
    <row r="477" ht="15.75" customHeight="1">
      <c r="Y477" s="31"/>
      <c r="Z477" s="31"/>
      <c r="AA477" s="31"/>
    </row>
    <row r="478" ht="15.75" customHeight="1">
      <c r="Y478" s="31"/>
      <c r="Z478" s="31"/>
      <c r="AA478" s="31"/>
    </row>
    <row r="479" ht="15.75" customHeight="1">
      <c r="Y479" s="31"/>
      <c r="Z479" s="31"/>
      <c r="AA479" s="31"/>
    </row>
    <row r="480" ht="15.75" customHeight="1">
      <c r="Y480" s="31"/>
      <c r="Z480" s="31"/>
      <c r="AA480" s="31"/>
    </row>
    <row r="481" ht="15.75" customHeight="1">
      <c r="Y481" s="31"/>
      <c r="Z481" s="31"/>
      <c r="AA481" s="31"/>
    </row>
    <row r="482" ht="15.75" customHeight="1">
      <c r="Y482" s="31"/>
      <c r="Z482" s="31"/>
      <c r="AA482" s="31"/>
    </row>
    <row r="483" ht="15.75" customHeight="1">
      <c r="Y483" s="31"/>
      <c r="Z483" s="31"/>
      <c r="AA483" s="31"/>
    </row>
    <row r="484" ht="15.75" customHeight="1">
      <c r="Y484" s="31"/>
      <c r="Z484" s="31"/>
      <c r="AA484" s="31"/>
    </row>
    <row r="485" ht="15.75" customHeight="1">
      <c r="Y485" s="31"/>
      <c r="Z485" s="31"/>
      <c r="AA485" s="31"/>
    </row>
    <row r="486" ht="15.75" customHeight="1">
      <c r="Y486" s="31"/>
      <c r="Z486" s="31"/>
      <c r="AA486" s="31"/>
    </row>
    <row r="487" ht="15.75" customHeight="1">
      <c r="Y487" s="31"/>
      <c r="Z487" s="31"/>
      <c r="AA487" s="31"/>
    </row>
    <row r="488" ht="15.75" customHeight="1">
      <c r="Y488" s="31"/>
      <c r="Z488" s="31"/>
      <c r="AA488" s="31"/>
    </row>
    <row r="489" ht="15.75" customHeight="1">
      <c r="Y489" s="31"/>
      <c r="Z489" s="31"/>
      <c r="AA489" s="31"/>
    </row>
    <row r="490" ht="15.75" customHeight="1">
      <c r="Y490" s="31"/>
      <c r="Z490" s="31"/>
      <c r="AA490" s="31"/>
    </row>
    <row r="491" ht="15.75" customHeight="1">
      <c r="Y491" s="31"/>
      <c r="Z491" s="31"/>
      <c r="AA491" s="31"/>
    </row>
    <row r="492" ht="15.75" customHeight="1">
      <c r="Y492" s="31"/>
      <c r="Z492" s="31"/>
      <c r="AA492" s="31"/>
    </row>
    <row r="493" ht="15.75" customHeight="1">
      <c r="Y493" s="31"/>
      <c r="Z493" s="31"/>
      <c r="AA493" s="31"/>
    </row>
    <row r="494" ht="15.75" customHeight="1">
      <c r="Y494" s="31"/>
      <c r="Z494" s="31"/>
      <c r="AA494" s="31"/>
    </row>
    <row r="495" ht="15.75" customHeight="1">
      <c r="Y495" s="31"/>
      <c r="Z495" s="31"/>
      <c r="AA495" s="31"/>
    </row>
    <row r="496" ht="15.75" customHeight="1">
      <c r="Y496" s="31"/>
      <c r="Z496" s="31"/>
      <c r="AA496" s="31"/>
    </row>
    <row r="497" ht="15.75" customHeight="1">
      <c r="Y497" s="31"/>
      <c r="Z497" s="31"/>
      <c r="AA497" s="31"/>
    </row>
    <row r="498" ht="15.75" customHeight="1">
      <c r="Y498" s="31"/>
      <c r="Z498" s="31"/>
      <c r="AA498" s="31"/>
    </row>
    <row r="499" ht="15.75" customHeight="1">
      <c r="Y499" s="31"/>
      <c r="Z499" s="31"/>
      <c r="AA499" s="31"/>
    </row>
    <row r="500" ht="15.75" customHeight="1">
      <c r="Y500" s="31"/>
      <c r="Z500" s="31"/>
      <c r="AA500" s="31"/>
    </row>
    <row r="501" ht="15.75" customHeight="1">
      <c r="Y501" s="31"/>
      <c r="Z501" s="31"/>
      <c r="AA501" s="31"/>
    </row>
    <row r="502" ht="15.75" customHeight="1">
      <c r="Y502" s="31"/>
      <c r="Z502" s="31"/>
      <c r="AA502" s="31"/>
    </row>
    <row r="503" ht="15.75" customHeight="1">
      <c r="Y503" s="31"/>
      <c r="Z503" s="31"/>
      <c r="AA503" s="31"/>
    </row>
    <row r="504" ht="15.75" customHeight="1">
      <c r="Y504" s="31"/>
      <c r="Z504" s="31"/>
      <c r="AA504" s="31"/>
    </row>
    <row r="505" ht="15.75" customHeight="1">
      <c r="Y505" s="31"/>
      <c r="Z505" s="31"/>
      <c r="AA505" s="31"/>
    </row>
    <row r="506" ht="15.75" customHeight="1">
      <c r="Y506" s="31"/>
      <c r="Z506" s="31"/>
      <c r="AA506" s="31"/>
    </row>
    <row r="507" ht="15.75" customHeight="1">
      <c r="Y507" s="31"/>
      <c r="Z507" s="31"/>
      <c r="AA507" s="31"/>
    </row>
    <row r="508" ht="15.75" customHeight="1">
      <c r="Y508" s="31"/>
      <c r="Z508" s="31"/>
      <c r="AA508" s="31"/>
    </row>
    <row r="509" ht="15.75" customHeight="1">
      <c r="Y509" s="31"/>
      <c r="Z509" s="31"/>
      <c r="AA509" s="31"/>
    </row>
    <row r="510" ht="15.75" customHeight="1">
      <c r="Y510" s="31"/>
      <c r="Z510" s="31"/>
      <c r="AA510" s="31"/>
    </row>
    <row r="511" ht="15.75" customHeight="1">
      <c r="Y511" s="31"/>
      <c r="Z511" s="31"/>
      <c r="AA511" s="31"/>
    </row>
    <row r="512" ht="15.75" customHeight="1">
      <c r="Y512" s="31"/>
      <c r="Z512" s="31"/>
      <c r="AA512" s="31"/>
    </row>
    <row r="513" ht="15.75" customHeight="1">
      <c r="Y513" s="31"/>
      <c r="Z513" s="31"/>
      <c r="AA513" s="31"/>
    </row>
    <row r="514" ht="15.75" customHeight="1">
      <c r="Y514" s="31"/>
      <c r="Z514" s="31"/>
      <c r="AA514" s="31"/>
    </row>
    <row r="515" ht="15.75" customHeight="1">
      <c r="Y515" s="31"/>
      <c r="Z515" s="31"/>
      <c r="AA515" s="31"/>
    </row>
    <row r="516" ht="15.75" customHeight="1">
      <c r="Y516" s="31"/>
      <c r="Z516" s="31"/>
      <c r="AA516" s="31"/>
    </row>
    <row r="517" ht="15.75" customHeight="1">
      <c r="Y517" s="31"/>
      <c r="Z517" s="31"/>
      <c r="AA517" s="31"/>
    </row>
    <row r="518" ht="15.75" customHeight="1">
      <c r="Y518" s="31"/>
      <c r="Z518" s="31"/>
      <c r="AA518" s="31"/>
    </row>
    <row r="519" ht="15.75" customHeight="1">
      <c r="Y519" s="31"/>
      <c r="Z519" s="31"/>
      <c r="AA519" s="31"/>
    </row>
    <row r="520" ht="15.75" customHeight="1">
      <c r="Y520" s="31"/>
      <c r="Z520" s="31"/>
      <c r="AA520" s="31"/>
    </row>
    <row r="521" ht="15.75" customHeight="1">
      <c r="Y521" s="31"/>
      <c r="Z521" s="31"/>
      <c r="AA521" s="31"/>
    </row>
    <row r="522" ht="15.75" customHeight="1">
      <c r="Y522" s="31"/>
      <c r="Z522" s="31"/>
      <c r="AA522" s="31"/>
    </row>
    <row r="523" ht="15.75" customHeight="1">
      <c r="Y523" s="31"/>
      <c r="Z523" s="31"/>
      <c r="AA523" s="31"/>
    </row>
    <row r="524" ht="15.75" customHeight="1">
      <c r="Y524" s="31"/>
      <c r="Z524" s="31"/>
      <c r="AA524" s="31"/>
    </row>
    <row r="525" ht="15.75" customHeight="1">
      <c r="Y525" s="31"/>
      <c r="Z525" s="31"/>
      <c r="AA525" s="31"/>
    </row>
    <row r="526" ht="15.75" customHeight="1">
      <c r="Y526" s="31"/>
      <c r="Z526" s="31"/>
      <c r="AA526" s="31"/>
    </row>
    <row r="527" ht="15.75" customHeight="1">
      <c r="Y527" s="31"/>
      <c r="Z527" s="31"/>
      <c r="AA527" s="31"/>
    </row>
    <row r="528" ht="15.75" customHeight="1">
      <c r="Y528" s="31"/>
      <c r="Z528" s="31"/>
      <c r="AA528" s="31"/>
    </row>
    <row r="529" ht="15.75" customHeight="1">
      <c r="Y529" s="31"/>
      <c r="Z529" s="31"/>
      <c r="AA529" s="31"/>
    </row>
    <row r="530" ht="15.75" customHeight="1">
      <c r="Y530" s="31"/>
      <c r="Z530" s="31"/>
      <c r="AA530" s="31"/>
    </row>
    <row r="531" ht="15.75" customHeight="1">
      <c r="Y531" s="31"/>
      <c r="Z531" s="31"/>
      <c r="AA531" s="31"/>
    </row>
    <row r="532" ht="15.75" customHeight="1">
      <c r="Y532" s="31"/>
      <c r="Z532" s="31"/>
      <c r="AA532" s="31"/>
    </row>
    <row r="533" ht="15.75" customHeight="1">
      <c r="Y533" s="31"/>
      <c r="Z533" s="31"/>
      <c r="AA533" s="31"/>
    </row>
    <row r="534" ht="15.75" customHeight="1">
      <c r="Y534" s="31"/>
      <c r="Z534" s="31"/>
      <c r="AA534" s="31"/>
    </row>
    <row r="535" ht="15.75" customHeight="1">
      <c r="Y535" s="31"/>
      <c r="Z535" s="31"/>
      <c r="AA535" s="31"/>
    </row>
    <row r="536" ht="15.75" customHeight="1">
      <c r="Y536" s="31"/>
      <c r="Z536" s="31"/>
      <c r="AA536" s="31"/>
    </row>
    <row r="537" ht="15.75" customHeight="1">
      <c r="Y537" s="31"/>
      <c r="Z537" s="31"/>
      <c r="AA537" s="31"/>
    </row>
    <row r="538" ht="15.75" customHeight="1">
      <c r="Y538" s="31"/>
      <c r="Z538" s="31"/>
      <c r="AA538" s="31"/>
    </row>
    <row r="539" ht="15.75" customHeight="1">
      <c r="Y539" s="31"/>
      <c r="Z539" s="31"/>
      <c r="AA539" s="31"/>
    </row>
    <row r="540" ht="15.75" customHeight="1">
      <c r="Y540" s="31"/>
      <c r="Z540" s="31"/>
      <c r="AA540" s="31"/>
    </row>
    <row r="541" ht="15.75" customHeight="1">
      <c r="Y541" s="31"/>
      <c r="Z541" s="31"/>
      <c r="AA541" s="31"/>
    </row>
    <row r="542" ht="15.75" customHeight="1">
      <c r="Y542" s="31"/>
      <c r="Z542" s="31"/>
      <c r="AA542" s="31"/>
    </row>
    <row r="543" ht="15.75" customHeight="1">
      <c r="Y543" s="31"/>
      <c r="Z543" s="31"/>
      <c r="AA543" s="31"/>
    </row>
    <row r="544" ht="15.75" customHeight="1">
      <c r="Y544" s="31"/>
      <c r="Z544" s="31"/>
      <c r="AA544" s="31"/>
    </row>
    <row r="545" ht="15.75" customHeight="1">
      <c r="Y545" s="31"/>
      <c r="Z545" s="31"/>
      <c r="AA545" s="31"/>
    </row>
    <row r="546" ht="15.75" customHeight="1">
      <c r="Y546" s="31"/>
      <c r="Z546" s="31"/>
      <c r="AA546" s="31"/>
    </row>
    <row r="547" ht="15.75" customHeight="1">
      <c r="Y547" s="31"/>
      <c r="Z547" s="31"/>
      <c r="AA547" s="31"/>
    </row>
    <row r="548" ht="15.75" customHeight="1">
      <c r="Y548" s="31"/>
      <c r="Z548" s="31"/>
      <c r="AA548" s="31"/>
    </row>
    <row r="549" ht="15.75" customHeight="1">
      <c r="Y549" s="31"/>
      <c r="Z549" s="31"/>
      <c r="AA549" s="31"/>
    </row>
    <row r="550" ht="15.75" customHeight="1">
      <c r="Y550" s="31"/>
      <c r="Z550" s="31"/>
      <c r="AA550" s="31"/>
    </row>
    <row r="551" ht="15.75" customHeight="1">
      <c r="Y551" s="31"/>
      <c r="Z551" s="31"/>
      <c r="AA551" s="31"/>
    </row>
    <row r="552" ht="15.75" customHeight="1">
      <c r="Y552" s="31"/>
      <c r="Z552" s="31"/>
      <c r="AA552" s="31"/>
    </row>
    <row r="553" ht="15.75" customHeight="1">
      <c r="Y553" s="31"/>
      <c r="Z553" s="31"/>
      <c r="AA553" s="31"/>
    </row>
    <row r="554" ht="15.75" customHeight="1">
      <c r="Y554" s="31"/>
      <c r="Z554" s="31"/>
      <c r="AA554" s="31"/>
    </row>
    <row r="555" ht="15.75" customHeight="1">
      <c r="Y555" s="31"/>
      <c r="Z555" s="31"/>
      <c r="AA555" s="31"/>
    </row>
    <row r="556" ht="15.75" customHeight="1">
      <c r="Y556" s="31"/>
      <c r="Z556" s="31"/>
      <c r="AA556" s="31"/>
    </row>
    <row r="557" ht="15.75" customHeight="1">
      <c r="Y557" s="31"/>
      <c r="Z557" s="31"/>
      <c r="AA557" s="31"/>
    </row>
    <row r="558" ht="15.75" customHeight="1">
      <c r="Y558" s="31"/>
      <c r="Z558" s="31"/>
      <c r="AA558" s="31"/>
    </row>
    <row r="559" ht="15.75" customHeight="1">
      <c r="Y559" s="31"/>
      <c r="Z559" s="31"/>
      <c r="AA559" s="31"/>
    </row>
    <row r="560" ht="15.75" customHeight="1">
      <c r="Y560" s="31"/>
      <c r="Z560" s="31"/>
      <c r="AA560" s="31"/>
    </row>
    <row r="561" ht="15.75" customHeight="1">
      <c r="Y561" s="31"/>
      <c r="Z561" s="31"/>
      <c r="AA561" s="31"/>
    </row>
    <row r="562" ht="15.75" customHeight="1">
      <c r="Y562" s="31"/>
      <c r="Z562" s="31"/>
      <c r="AA562" s="31"/>
    </row>
    <row r="563" ht="15.75" customHeight="1">
      <c r="Y563" s="31"/>
      <c r="Z563" s="31"/>
      <c r="AA563" s="31"/>
    </row>
    <row r="564" ht="15.75" customHeight="1">
      <c r="Y564" s="31"/>
      <c r="Z564" s="31"/>
      <c r="AA564" s="31"/>
    </row>
    <row r="565" ht="15.75" customHeight="1">
      <c r="Y565" s="31"/>
      <c r="Z565" s="31"/>
      <c r="AA565" s="31"/>
    </row>
    <row r="566" ht="15.75" customHeight="1">
      <c r="Y566" s="31"/>
      <c r="Z566" s="31"/>
      <c r="AA566" s="31"/>
    </row>
    <row r="567" ht="15.75" customHeight="1">
      <c r="Y567" s="31"/>
      <c r="Z567" s="31"/>
      <c r="AA567" s="31"/>
    </row>
    <row r="568" ht="15.75" customHeight="1">
      <c r="Y568" s="31"/>
      <c r="Z568" s="31"/>
      <c r="AA568" s="31"/>
    </row>
    <row r="569" ht="15.75" customHeight="1">
      <c r="Y569" s="31"/>
      <c r="Z569" s="31"/>
      <c r="AA569" s="31"/>
    </row>
    <row r="570" ht="15.75" customHeight="1">
      <c r="Y570" s="31"/>
      <c r="Z570" s="31"/>
      <c r="AA570" s="31"/>
    </row>
    <row r="571" ht="15.75" customHeight="1">
      <c r="Y571" s="31"/>
      <c r="Z571" s="31"/>
      <c r="AA571" s="31"/>
    </row>
    <row r="572" ht="15.75" customHeight="1">
      <c r="Y572" s="31"/>
      <c r="Z572" s="31"/>
      <c r="AA572" s="31"/>
    </row>
    <row r="573" ht="15.75" customHeight="1">
      <c r="Y573" s="31"/>
      <c r="Z573" s="31"/>
      <c r="AA573" s="31"/>
    </row>
    <row r="574" ht="15.75" customHeight="1">
      <c r="Y574" s="31"/>
      <c r="Z574" s="31"/>
      <c r="AA574" s="31"/>
    </row>
    <row r="575" ht="15.75" customHeight="1">
      <c r="Y575" s="31"/>
      <c r="Z575" s="31"/>
      <c r="AA575" s="31"/>
    </row>
    <row r="576" ht="15.75" customHeight="1">
      <c r="Y576" s="31"/>
      <c r="Z576" s="31"/>
      <c r="AA576" s="31"/>
    </row>
    <row r="577" ht="15.75" customHeight="1">
      <c r="Y577" s="31"/>
      <c r="Z577" s="31"/>
      <c r="AA577" s="31"/>
    </row>
    <row r="578" ht="15.75" customHeight="1">
      <c r="Y578" s="31"/>
      <c r="Z578" s="31"/>
      <c r="AA578" s="31"/>
    </row>
    <row r="579" ht="15.75" customHeight="1">
      <c r="Y579" s="31"/>
      <c r="Z579" s="31"/>
      <c r="AA579" s="31"/>
    </row>
    <row r="580" ht="15.75" customHeight="1">
      <c r="Y580" s="31"/>
      <c r="Z580" s="31"/>
      <c r="AA580" s="31"/>
    </row>
    <row r="581" ht="15.75" customHeight="1">
      <c r="Y581" s="31"/>
      <c r="Z581" s="31"/>
      <c r="AA581" s="31"/>
    </row>
    <row r="582" ht="15.75" customHeight="1">
      <c r="Y582" s="31"/>
      <c r="Z582" s="31"/>
      <c r="AA582" s="31"/>
    </row>
    <row r="583" ht="15.75" customHeight="1">
      <c r="Y583" s="31"/>
      <c r="Z583" s="31"/>
      <c r="AA583" s="31"/>
    </row>
    <row r="584" ht="15.75" customHeight="1">
      <c r="Y584" s="31"/>
      <c r="Z584" s="31"/>
      <c r="AA584" s="31"/>
    </row>
    <row r="585" ht="15.75" customHeight="1">
      <c r="Y585" s="31"/>
      <c r="Z585" s="31"/>
      <c r="AA585" s="31"/>
    </row>
    <row r="586" ht="15.75" customHeight="1">
      <c r="Y586" s="31"/>
      <c r="Z586" s="31"/>
      <c r="AA586" s="31"/>
    </row>
    <row r="587" ht="15.75" customHeight="1">
      <c r="Y587" s="31"/>
      <c r="Z587" s="31"/>
      <c r="AA587" s="31"/>
    </row>
    <row r="588" ht="15.75" customHeight="1">
      <c r="Y588" s="31"/>
      <c r="Z588" s="31"/>
      <c r="AA588" s="31"/>
    </row>
    <row r="589" ht="15.75" customHeight="1">
      <c r="Y589" s="31"/>
      <c r="Z589" s="31"/>
      <c r="AA589" s="31"/>
    </row>
    <row r="590" ht="15.75" customHeight="1">
      <c r="Y590" s="31"/>
      <c r="Z590" s="31"/>
      <c r="AA590" s="31"/>
    </row>
    <row r="591" ht="15.75" customHeight="1">
      <c r="Y591" s="31"/>
      <c r="Z591" s="31"/>
      <c r="AA591" s="31"/>
    </row>
    <row r="592" ht="15.75" customHeight="1">
      <c r="Y592" s="31"/>
      <c r="Z592" s="31"/>
      <c r="AA592" s="31"/>
    </row>
    <row r="593" ht="15.75" customHeight="1">
      <c r="Y593" s="31"/>
      <c r="Z593" s="31"/>
      <c r="AA593" s="31"/>
    </row>
    <row r="594" ht="15.75" customHeight="1">
      <c r="Y594" s="31"/>
      <c r="Z594" s="31"/>
      <c r="AA594" s="31"/>
    </row>
    <row r="595" ht="15.75" customHeight="1">
      <c r="Y595" s="31"/>
      <c r="Z595" s="31"/>
      <c r="AA595" s="31"/>
    </row>
    <row r="596" ht="15.75" customHeight="1">
      <c r="Y596" s="31"/>
      <c r="Z596" s="31"/>
      <c r="AA596" s="31"/>
    </row>
    <row r="597" ht="15.75" customHeight="1">
      <c r="Y597" s="31"/>
      <c r="Z597" s="31"/>
      <c r="AA597" s="31"/>
    </row>
    <row r="598" ht="15.75" customHeight="1">
      <c r="Y598" s="31"/>
      <c r="Z598" s="31"/>
      <c r="AA598" s="31"/>
    </row>
    <row r="599" ht="15.75" customHeight="1">
      <c r="Y599" s="31"/>
      <c r="Z599" s="31"/>
      <c r="AA599" s="31"/>
    </row>
    <row r="600" ht="15.75" customHeight="1">
      <c r="Y600" s="31"/>
      <c r="Z600" s="31"/>
      <c r="AA600" s="31"/>
    </row>
    <row r="601" ht="15.75" customHeight="1">
      <c r="Y601" s="31"/>
      <c r="Z601" s="31"/>
      <c r="AA601" s="31"/>
    </row>
    <row r="602" ht="15.75" customHeight="1">
      <c r="Y602" s="31"/>
      <c r="Z602" s="31"/>
      <c r="AA602" s="31"/>
    </row>
    <row r="603" ht="15.75" customHeight="1">
      <c r="Y603" s="31"/>
      <c r="Z603" s="31"/>
      <c r="AA603" s="31"/>
    </row>
    <row r="604" ht="15.75" customHeight="1">
      <c r="Y604" s="31"/>
      <c r="Z604" s="31"/>
      <c r="AA604" s="31"/>
    </row>
    <row r="605" ht="15.75" customHeight="1">
      <c r="Y605" s="31"/>
      <c r="Z605" s="31"/>
      <c r="AA605" s="31"/>
    </row>
    <row r="606" ht="15.75" customHeight="1">
      <c r="Y606" s="31"/>
      <c r="Z606" s="31"/>
      <c r="AA606" s="31"/>
    </row>
    <row r="607" ht="15.75" customHeight="1">
      <c r="Y607" s="31"/>
      <c r="Z607" s="31"/>
      <c r="AA607" s="31"/>
    </row>
    <row r="608" ht="15.75" customHeight="1">
      <c r="Y608" s="31"/>
      <c r="Z608" s="31"/>
      <c r="AA608" s="31"/>
    </row>
    <row r="609" ht="15.75" customHeight="1">
      <c r="Y609" s="31"/>
      <c r="Z609" s="31"/>
      <c r="AA609" s="31"/>
    </row>
    <row r="610" ht="15.75" customHeight="1">
      <c r="Y610" s="31"/>
      <c r="Z610" s="31"/>
      <c r="AA610" s="31"/>
    </row>
    <row r="611" ht="15.75" customHeight="1">
      <c r="Y611" s="31"/>
      <c r="Z611" s="31"/>
      <c r="AA611" s="31"/>
    </row>
    <row r="612" ht="15.75" customHeight="1">
      <c r="Y612" s="31"/>
      <c r="Z612" s="31"/>
      <c r="AA612" s="31"/>
    </row>
    <row r="613" ht="15.75" customHeight="1">
      <c r="Y613" s="31"/>
      <c r="Z613" s="31"/>
      <c r="AA613" s="31"/>
    </row>
    <row r="614" ht="15.75" customHeight="1">
      <c r="Y614" s="31"/>
      <c r="Z614" s="31"/>
      <c r="AA614" s="31"/>
    </row>
    <row r="615" ht="15.75" customHeight="1">
      <c r="Y615" s="31"/>
      <c r="Z615" s="31"/>
      <c r="AA615" s="31"/>
    </row>
    <row r="616" ht="15.75" customHeight="1">
      <c r="Y616" s="31"/>
      <c r="Z616" s="31"/>
      <c r="AA616" s="31"/>
    </row>
    <row r="617" ht="15.75" customHeight="1">
      <c r="Y617" s="31"/>
      <c r="Z617" s="31"/>
      <c r="AA617" s="31"/>
    </row>
    <row r="618" ht="15.75" customHeight="1">
      <c r="Y618" s="31"/>
      <c r="Z618" s="31"/>
      <c r="AA618" s="31"/>
    </row>
    <row r="619" ht="15.75" customHeight="1">
      <c r="Y619" s="31"/>
      <c r="Z619" s="31"/>
      <c r="AA619" s="31"/>
    </row>
    <row r="620" ht="15.75" customHeight="1">
      <c r="Y620" s="31"/>
      <c r="Z620" s="31"/>
      <c r="AA620" s="31"/>
    </row>
    <row r="621" ht="15.75" customHeight="1">
      <c r="Y621" s="31"/>
      <c r="Z621" s="31"/>
      <c r="AA621" s="31"/>
    </row>
    <row r="622" ht="15.75" customHeight="1">
      <c r="Y622" s="31"/>
      <c r="Z622" s="31"/>
      <c r="AA622" s="31"/>
    </row>
    <row r="623" ht="15.75" customHeight="1">
      <c r="Y623" s="31"/>
      <c r="Z623" s="31"/>
      <c r="AA623" s="31"/>
    </row>
    <row r="624" ht="15.75" customHeight="1">
      <c r="Y624" s="31"/>
      <c r="Z624" s="31"/>
      <c r="AA624" s="31"/>
    </row>
    <row r="625" ht="15.75" customHeight="1">
      <c r="Y625" s="31"/>
      <c r="Z625" s="31"/>
      <c r="AA625" s="31"/>
    </row>
    <row r="626" ht="15.75" customHeight="1">
      <c r="Y626" s="31"/>
      <c r="Z626" s="31"/>
      <c r="AA626" s="31"/>
    </row>
    <row r="627" ht="15.75" customHeight="1">
      <c r="Y627" s="31"/>
      <c r="Z627" s="31"/>
      <c r="AA627" s="31"/>
    </row>
    <row r="628" ht="15.75" customHeight="1">
      <c r="Y628" s="31"/>
      <c r="Z628" s="31"/>
      <c r="AA628" s="31"/>
    </row>
    <row r="629" ht="15.75" customHeight="1">
      <c r="Y629" s="31"/>
      <c r="Z629" s="31"/>
      <c r="AA629" s="31"/>
    </row>
    <row r="630" ht="15.75" customHeight="1">
      <c r="Y630" s="31"/>
      <c r="Z630" s="31"/>
      <c r="AA630" s="31"/>
    </row>
    <row r="631" ht="15.75" customHeight="1">
      <c r="Y631" s="31"/>
      <c r="Z631" s="31"/>
      <c r="AA631" s="31"/>
    </row>
    <row r="632" ht="15.75" customHeight="1">
      <c r="Y632" s="31"/>
      <c r="Z632" s="31"/>
      <c r="AA632" s="31"/>
    </row>
    <row r="633" ht="15.75" customHeight="1">
      <c r="Y633" s="31"/>
      <c r="Z633" s="31"/>
      <c r="AA633" s="31"/>
    </row>
    <row r="634" ht="15.75" customHeight="1">
      <c r="Y634" s="31"/>
      <c r="Z634" s="31"/>
      <c r="AA634" s="31"/>
    </row>
    <row r="635" ht="15.75" customHeight="1">
      <c r="Y635" s="31"/>
      <c r="Z635" s="31"/>
      <c r="AA635" s="31"/>
    </row>
    <row r="636" ht="15.75" customHeight="1">
      <c r="Y636" s="31"/>
      <c r="Z636" s="31"/>
      <c r="AA636" s="31"/>
    </row>
    <row r="637" ht="15.75" customHeight="1">
      <c r="Y637" s="31"/>
      <c r="Z637" s="31"/>
      <c r="AA637" s="31"/>
    </row>
    <row r="638" ht="15.75" customHeight="1">
      <c r="Y638" s="31"/>
      <c r="Z638" s="31"/>
      <c r="AA638" s="31"/>
    </row>
    <row r="639" ht="15.75" customHeight="1">
      <c r="Y639" s="31"/>
      <c r="Z639" s="31"/>
      <c r="AA639" s="31"/>
    </row>
    <row r="640" ht="15.75" customHeight="1">
      <c r="Y640" s="31"/>
      <c r="Z640" s="31"/>
      <c r="AA640" s="31"/>
    </row>
    <row r="641" ht="15.75" customHeight="1">
      <c r="Y641" s="31"/>
      <c r="Z641" s="31"/>
      <c r="AA641" s="31"/>
    </row>
    <row r="642" ht="15.75" customHeight="1">
      <c r="Y642" s="31"/>
      <c r="Z642" s="31"/>
      <c r="AA642" s="31"/>
    </row>
    <row r="643" ht="15.75" customHeight="1">
      <c r="Y643" s="31"/>
      <c r="Z643" s="31"/>
      <c r="AA643" s="31"/>
    </row>
    <row r="644" ht="15.75" customHeight="1">
      <c r="Y644" s="31"/>
      <c r="Z644" s="31"/>
      <c r="AA644" s="31"/>
    </row>
    <row r="645" ht="15.75" customHeight="1">
      <c r="Y645" s="31"/>
      <c r="Z645" s="31"/>
      <c r="AA645" s="31"/>
    </row>
    <row r="646" ht="15.75" customHeight="1">
      <c r="Y646" s="31"/>
      <c r="Z646" s="31"/>
      <c r="AA646" s="31"/>
    </row>
    <row r="647" ht="15.75" customHeight="1">
      <c r="Y647" s="31"/>
      <c r="Z647" s="31"/>
      <c r="AA647" s="31"/>
    </row>
    <row r="648" ht="15.75" customHeight="1">
      <c r="Y648" s="31"/>
      <c r="Z648" s="31"/>
      <c r="AA648" s="31"/>
    </row>
    <row r="649" ht="15.75" customHeight="1">
      <c r="Y649" s="31"/>
      <c r="Z649" s="31"/>
      <c r="AA649" s="31"/>
    </row>
    <row r="650" ht="15.75" customHeight="1">
      <c r="Y650" s="31"/>
      <c r="Z650" s="31"/>
      <c r="AA650" s="31"/>
    </row>
    <row r="651" ht="15.75" customHeight="1">
      <c r="Y651" s="31"/>
      <c r="Z651" s="31"/>
      <c r="AA651" s="31"/>
    </row>
    <row r="652" ht="15.75" customHeight="1">
      <c r="Y652" s="31"/>
      <c r="Z652" s="31"/>
      <c r="AA652" s="31"/>
    </row>
    <row r="653" ht="15.75" customHeight="1">
      <c r="Y653" s="31"/>
      <c r="Z653" s="31"/>
      <c r="AA653" s="31"/>
    </row>
    <row r="654" ht="15.75" customHeight="1">
      <c r="Y654" s="31"/>
      <c r="Z654" s="31"/>
      <c r="AA654" s="31"/>
    </row>
    <row r="655" ht="15.75" customHeight="1">
      <c r="Y655" s="31"/>
      <c r="Z655" s="31"/>
      <c r="AA655" s="31"/>
    </row>
    <row r="656" ht="15.75" customHeight="1">
      <c r="Y656" s="31"/>
      <c r="Z656" s="31"/>
      <c r="AA656" s="31"/>
    </row>
    <row r="657" ht="15.75" customHeight="1">
      <c r="Y657" s="31"/>
      <c r="Z657" s="31"/>
      <c r="AA657" s="31"/>
    </row>
    <row r="658" ht="15.75" customHeight="1">
      <c r="Y658" s="31"/>
      <c r="Z658" s="31"/>
      <c r="AA658" s="31"/>
    </row>
    <row r="659" ht="15.75" customHeight="1">
      <c r="Y659" s="31"/>
      <c r="Z659" s="31"/>
      <c r="AA659" s="31"/>
    </row>
    <row r="660" ht="15.75" customHeight="1">
      <c r="Y660" s="31"/>
      <c r="Z660" s="31"/>
      <c r="AA660" s="31"/>
    </row>
    <row r="661" ht="15.75" customHeight="1">
      <c r="Y661" s="31"/>
      <c r="Z661" s="31"/>
      <c r="AA661" s="31"/>
    </row>
    <row r="662" ht="15.75" customHeight="1">
      <c r="Y662" s="31"/>
      <c r="Z662" s="31"/>
      <c r="AA662" s="31"/>
    </row>
    <row r="663" ht="15.75" customHeight="1">
      <c r="Y663" s="31"/>
      <c r="Z663" s="31"/>
      <c r="AA663" s="31"/>
    </row>
    <row r="664" ht="15.75" customHeight="1">
      <c r="Y664" s="31"/>
      <c r="Z664" s="31"/>
      <c r="AA664" s="31"/>
    </row>
    <row r="665" ht="15.75" customHeight="1">
      <c r="Y665" s="31"/>
      <c r="Z665" s="31"/>
      <c r="AA665" s="31"/>
    </row>
    <row r="666" ht="15.75" customHeight="1">
      <c r="Y666" s="31"/>
      <c r="Z666" s="31"/>
      <c r="AA666" s="31"/>
    </row>
    <row r="667" ht="15.75" customHeight="1">
      <c r="Y667" s="31"/>
      <c r="Z667" s="31"/>
      <c r="AA667" s="31"/>
    </row>
    <row r="668" ht="15.75" customHeight="1">
      <c r="Y668" s="31"/>
      <c r="Z668" s="31"/>
      <c r="AA668" s="31"/>
    </row>
    <row r="669" ht="15.75" customHeight="1">
      <c r="Y669" s="31"/>
      <c r="Z669" s="31"/>
      <c r="AA669" s="31"/>
    </row>
    <row r="670" ht="15.75" customHeight="1">
      <c r="Y670" s="31"/>
      <c r="Z670" s="31"/>
      <c r="AA670" s="31"/>
    </row>
    <row r="671" ht="15.75" customHeight="1">
      <c r="Y671" s="31"/>
      <c r="Z671" s="31"/>
      <c r="AA671" s="31"/>
    </row>
    <row r="672" ht="15.75" customHeight="1">
      <c r="Y672" s="31"/>
      <c r="Z672" s="31"/>
      <c r="AA672" s="31"/>
    </row>
    <row r="673" ht="15.75" customHeight="1">
      <c r="Y673" s="31"/>
      <c r="Z673" s="31"/>
      <c r="AA673" s="31"/>
    </row>
    <row r="674" ht="15.75" customHeight="1">
      <c r="Y674" s="31"/>
      <c r="Z674" s="31"/>
      <c r="AA674" s="31"/>
    </row>
    <row r="675" ht="15.75" customHeight="1">
      <c r="Y675" s="31"/>
      <c r="Z675" s="31"/>
      <c r="AA675" s="31"/>
    </row>
    <row r="676" ht="15.75" customHeight="1">
      <c r="Y676" s="31"/>
      <c r="Z676" s="31"/>
      <c r="AA676" s="31"/>
    </row>
    <row r="677" ht="15.75" customHeight="1">
      <c r="Y677" s="31"/>
      <c r="Z677" s="31"/>
      <c r="AA677" s="31"/>
    </row>
    <row r="678" ht="15.75" customHeight="1">
      <c r="Y678" s="31"/>
      <c r="Z678" s="31"/>
      <c r="AA678" s="31"/>
    </row>
    <row r="679" ht="15.75" customHeight="1">
      <c r="Y679" s="31"/>
      <c r="Z679" s="31"/>
      <c r="AA679" s="31"/>
    </row>
    <row r="680" ht="15.75" customHeight="1">
      <c r="Y680" s="31"/>
      <c r="Z680" s="31"/>
      <c r="AA680" s="31"/>
    </row>
    <row r="681" ht="15.75" customHeight="1">
      <c r="Y681" s="31"/>
      <c r="Z681" s="31"/>
      <c r="AA681" s="31"/>
    </row>
    <row r="682" ht="15.75" customHeight="1">
      <c r="Y682" s="31"/>
      <c r="Z682" s="31"/>
      <c r="AA682" s="31"/>
    </row>
    <row r="683" ht="15.75" customHeight="1">
      <c r="Y683" s="31"/>
      <c r="Z683" s="31"/>
      <c r="AA683" s="31"/>
    </row>
    <row r="684" ht="15.75" customHeight="1">
      <c r="Y684" s="31"/>
      <c r="Z684" s="31"/>
      <c r="AA684" s="31"/>
    </row>
    <row r="685" ht="15.75" customHeight="1">
      <c r="Y685" s="31"/>
      <c r="Z685" s="31"/>
      <c r="AA685" s="31"/>
    </row>
    <row r="686" ht="15.75" customHeight="1">
      <c r="Y686" s="31"/>
      <c r="Z686" s="31"/>
      <c r="AA686" s="31"/>
    </row>
    <row r="687" ht="15.75" customHeight="1">
      <c r="Y687" s="31"/>
      <c r="Z687" s="31"/>
      <c r="AA687" s="31"/>
    </row>
    <row r="688" ht="15.75" customHeight="1">
      <c r="Y688" s="31"/>
      <c r="Z688" s="31"/>
      <c r="AA688" s="31"/>
    </row>
    <row r="689" ht="15.75" customHeight="1">
      <c r="Y689" s="31"/>
      <c r="Z689" s="31"/>
      <c r="AA689" s="31"/>
    </row>
    <row r="690" ht="15.75" customHeight="1">
      <c r="Y690" s="31"/>
      <c r="Z690" s="31"/>
      <c r="AA690" s="31"/>
    </row>
    <row r="691" ht="15.75" customHeight="1">
      <c r="Y691" s="31"/>
      <c r="Z691" s="31"/>
      <c r="AA691" s="31"/>
    </row>
    <row r="692" ht="15.75" customHeight="1">
      <c r="Y692" s="31"/>
      <c r="Z692" s="31"/>
      <c r="AA692" s="31"/>
    </row>
    <row r="693" ht="15.75" customHeight="1">
      <c r="Y693" s="31"/>
      <c r="Z693" s="31"/>
      <c r="AA693" s="31"/>
    </row>
    <row r="694" ht="15.75" customHeight="1">
      <c r="Y694" s="31"/>
      <c r="Z694" s="31"/>
      <c r="AA694" s="31"/>
    </row>
    <row r="695" ht="15.75" customHeight="1">
      <c r="Y695" s="31"/>
      <c r="Z695" s="31"/>
      <c r="AA695" s="31"/>
    </row>
    <row r="696" ht="15.75" customHeight="1">
      <c r="Y696" s="31"/>
      <c r="Z696" s="31"/>
      <c r="AA696" s="31"/>
    </row>
    <row r="697" ht="15.75" customHeight="1">
      <c r="Y697" s="31"/>
      <c r="Z697" s="31"/>
      <c r="AA697" s="31"/>
    </row>
    <row r="698" ht="15.75" customHeight="1">
      <c r="Y698" s="31"/>
      <c r="Z698" s="31"/>
      <c r="AA698" s="31"/>
    </row>
    <row r="699" ht="15.75" customHeight="1">
      <c r="Y699" s="31"/>
      <c r="Z699" s="31"/>
      <c r="AA699" s="31"/>
    </row>
    <row r="700" ht="15.75" customHeight="1">
      <c r="Y700" s="31"/>
      <c r="Z700" s="31"/>
      <c r="AA700" s="31"/>
    </row>
    <row r="701" ht="15.75" customHeight="1">
      <c r="Y701" s="31"/>
      <c r="Z701" s="31"/>
      <c r="AA701" s="31"/>
    </row>
    <row r="702" ht="15.75" customHeight="1">
      <c r="Y702" s="31"/>
      <c r="Z702" s="31"/>
      <c r="AA702" s="31"/>
    </row>
    <row r="703" ht="15.75" customHeight="1">
      <c r="Y703" s="31"/>
      <c r="Z703" s="31"/>
      <c r="AA703" s="31"/>
    </row>
    <row r="704" ht="15.75" customHeight="1">
      <c r="Y704" s="31"/>
      <c r="Z704" s="31"/>
      <c r="AA704" s="31"/>
    </row>
    <row r="705" ht="15.75" customHeight="1">
      <c r="Y705" s="31"/>
      <c r="Z705" s="31"/>
      <c r="AA705" s="31"/>
    </row>
    <row r="706" ht="15.75" customHeight="1">
      <c r="Y706" s="31"/>
      <c r="Z706" s="31"/>
      <c r="AA706" s="31"/>
    </row>
    <row r="707" ht="15.75" customHeight="1">
      <c r="Y707" s="31"/>
      <c r="Z707" s="31"/>
      <c r="AA707" s="31"/>
    </row>
    <row r="708" ht="15.75" customHeight="1">
      <c r="Y708" s="31"/>
      <c r="Z708" s="31"/>
      <c r="AA708" s="31"/>
    </row>
    <row r="709" ht="15.75" customHeight="1">
      <c r="Y709" s="31"/>
      <c r="Z709" s="31"/>
      <c r="AA709" s="31"/>
    </row>
    <row r="710" ht="15.75" customHeight="1">
      <c r="Y710" s="31"/>
      <c r="Z710" s="31"/>
      <c r="AA710" s="31"/>
    </row>
    <row r="711" ht="15.75" customHeight="1">
      <c r="Y711" s="31"/>
      <c r="Z711" s="31"/>
      <c r="AA711" s="31"/>
    </row>
    <row r="712" ht="15.75" customHeight="1">
      <c r="Y712" s="31"/>
      <c r="Z712" s="31"/>
      <c r="AA712" s="31"/>
    </row>
    <row r="713" ht="15.75" customHeight="1">
      <c r="Y713" s="31"/>
      <c r="Z713" s="31"/>
      <c r="AA713" s="31"/>
    </row>
    <row r="714" ht="15.75" customHeight="1">
      <c r="Y714" s="31"/>
      <c r="Z714" s="31"/>
      <c r="AA714" s="31"/>
    </row>
    <row r="715" ht="15.75" customHeight="1">
      <c r="Y715" s="31"/>
      <c r="Z715" s="31"/>
      <c r="AA715" s="31"/>
    </row>
    <row r="716" ht="15.75" customHeight="1">
      <c r="Y716" s="31"/>
      <c r="Z716" s="31"/>
      <c r="AA716" s="31"/>
    </row>
    <row r="717" ht="15.75" customHeight="1">
      <c r="Y717" s="31"/>
      <c r="Z717" s="31"/>
      <c r="AA717" s="31"/>
    </row>
    <row r="718" ht="15.75" customHeight="1">
      <c r="Y718" s="31"/>
      <c r="Z718" s="31"/>
      <c r="AA718" s="31"/>
    </row>
    <row r="719" ht="15.75" customHeight="1">
      <c r="Y719" s="31"/>
      <c r="Z719" s="31"/>
      <c r="AA719" s="31"/>
    </row>
    <row r="720" ht="15.75" customHeight="1">
      <c r="Y720" s="31"/>
      <c r="Z720" s="31"/>
      <c r="AA720" s="31"/>
    </row>
    <row r="721" ht="15.75" customHeight="1">
      <c r="Y721" s="31"/>
      <c r="Z721" s="31"/>
      <c r="AA721" s="31"/>
    </row>
    <row r="722" ht="15.75" customHeight="1">
      <c r="Y722" s="31"/>
      <c r="Z722" s="31"/>
      <c r="AA722" s="31"/>
    </row>
    <row r="723" ht="15.75" customHeight="1">
      <c r="Y723" s="31"/>
      <c r="Z723" s="31"/>
      <c r="AA723" s="31"/>
    </row>
    <row r="724" ht="15.75" customHeight="1">
      <c r="Y724" s="31"/>
      <c r="Z724" s="31"/>
      <c r="AA724" s="31"/>
    </row>
    <row r="725" ht="15.75" customHeight="1">
      <c r="Y725" s="31"/>
      <c r="Z725" s="31"/>
      <c r="AA725" s="31"/>
    </row>
    <row r="726" ht="15.75" customHeight="1">
      <c r="Y726" s="31"/>
      <c r="Z726" s="31"/>
      <c r="AA726" s="31"/>
    </row>
    <row r="727" ht="15.75" customHeight="1">
      <c r="Y727" s="31"/>
      <c r="Z727" s="31"/>
      <c r="AA727" s="31"/>
    </row>
    <row r="728" ht="15.75" customHeight="1">
      <c r="Y728" s="31"/>
      <c r="Z728" s="31"/>
      <c r="AA728" s="31"/>
    </row>
    <row r="729" ht="15.75" customHeight="1">
      <c r="Y729" s="31"/>
      <c r="Z729" s="31"/>
      <c r="AA729" s="31"/>
    </row>
    <row r="730" ht="15.75" customHeight="1">
      <c r="Y730" s="31"/>
      <c r="Z730" s="31"/>
      <c r="AA730" s="31"/>
    </row>
    <row r="731" ht="15.75" customHeight="1">
      <c r="Y731" s="31"/>
      <c r="Z731" s="31"/>
      <c r="AA731" s="31"/>
    </row>
    <row r="732" ht="15.75" customHeight="1">
      <c r="Y732" s="31"/>
      <c r="Z732" s="31"/>
      <c r="AA732" s="31"/>
    </row>
    <row r="733" ht="15.75" customHeight="1">
      <c r="Y733" s="31"/>
      <c r="Z733" s="31"/>
      <c r="AA733" s="31"/>
    </row>
    <row r="734" ht="15.75" customHeight="1">
      <c r="Y734" s="31"/>
      <c r="Z734" s="31"/>
      <c r="AA734" s="31"/>
    </row>
    <row r="735" ht="15.75" customHeight="1">
      <c r="Y735" s="31"/>
      <c r="Z735" s="31"/>
      <c r="AA735" s="31"/>
    </row>
    <row r="736" ht="15.75" customHeight="1">
      <c r="Y736" s="31"/>
      <c r="Z736" s="31"/>
      <c r="AA736" s="31"/>
    </row>
    <row r="737" ht="15.75" customHeight="1">
      <c r="Y737" s="31"/>
      <c r="Z737" s="31"/>
      <c r="AA737" s="31"/>
    </row>
    <row r="738" ht="15.75" customHeight="1">
      <c r="Y738" s="31"/>
      <c r="Z738" s="31"/>
      <c r="AA738" s="31"/>
    </row>
    <row r="739" ht="15.75" customHeight="1">
      <c r="Y739" s="31"/>
      <c r="Z739" s="31"/>
      <c r="AA739" s="31"/>
    </row>
    <row r="740" ht="15.75" customHeight="1">
      <c r="Y740" s="31"/>
      <c r="Z740" s="31"/>
      <c r="AA740" s="31"/>
    </row>
    <row r="741" ht="15.75" customHeight="1">
      <c r="Y741" s="31"/>
      <c r="Z741" s="31"/>
      <c r="AA741" s="31"/>
    </row>
    <row r="742" ht="15.75" customHeight="1">
      <c r="Y742" s="31"/>
      <c r="Z742" s="31"/>
      <c r="AA742" s="31"/>
    </row>
    <row r="743" ht="15.75" customHeight="1">
      <c r="Y743" s="31"/>
      <c r="Z743" s="31"/>
      <c r="AA743" s="31"/>
    </row>
    <row r="744" ht="15.75" customHeight="1">
      <c r="Y744" s="31"/>
      <c r="Z744" s="31"/>
      <c r="AA744" s="31"/>
    </row>
    <row r="745" ht="15.75" customHeight="1">
      <c r="Y745" s="31"/>
      <c r="Z745" s="31"/>
      <c r="AA745" s="31"/>
    </row>
    <row r="746" ht="15.75" customHeight="1">
      <c r="Y746" s="31"/>
      <c r="Z746" s="31"/>
      <c r="AA746" s="31"/>
    </row>
    <row r="747" ht="15.75" customHeight="1">
      <c r="Y747" s="31"/>
      <c r="Z747" s="31"/>
      <c r="AA747" s="31"/>
    </row>
    <row r="748" ht="15.75" customHeight="1">
      <c r="Y748" s="31"/>
      <c r="Z748" s="31"/>
      <c r="AA748" s="31"/>
    </row>
    <row r="749" ht="15.75" customHeight="1">
      <c r="Y749" s="31"/>
      <c r="Z749" s="31"/>
      <c r="AA749" s="31"/>
    </row>
    <row r="750" ht="15.75" customHeight="1">
      <c r="Y750" s="31"/>
      <c r="Z750" s="31"/>
      <c r="AA750" s="31"/>
    </row>
    <row r="751" ht="15.75" customHeight="1">
      <c r="Y751" s="31"/>
      <c r="Z751" s="31"/>
      <c r="AA751" s="31"/>
    </row>
    <row r="752" ht="15.75" customHeight="1">
      <c r="Y752" s="31"/>
      <c r="Z752" s="31"/>
      <c r="AA752" s="31"/>
    </row>
    <row r="753" ht="15.75" customHeight="1">
      <c r="Y753" s="31"/>
      <c r="Z753" s="31"/>
      <c r="AA753" s="31"/>
    </row>
    <row r="754" ht="15.75" customHeight="1">
      <c r="Y754" s="31"/>
      <c r="Z754" s="31"/>
      <c r="AA754" s="31"/>
    </row>
    <row r="755" ht="15.75" customHeight="1">
      <c r="Y755" s="31"/>
      <c r="Z755" s="31"/>
      <c r="AA755" s="31"/>
    </row>
    <row r="756" ht="15.75" customHeight="1">
      <c r="Y756" s="31"/>
      <c r="Z756" s="31"/>
      <c r="AA756" s="31"/>
    </row>
    <row r="757" ht="15.75" customHeight="1">
      <c r="Y757" s="31"/>
      <c r="Z757" s="31"/>
      <c r="AA757" s="31"/>
    </row>
    <row r="758" ht="15.75" customHeight="1">
      <c r="Y758" s="31"/>
      <c r="Z758" s="31"/>
      <c r="AA758" s="31"/>
    </row>
    <row r="759" ht="15.75" customHeight="1">
      <c r="Y759" s="31"/>
      <c r="Z759" s="31"/>
      <c r="AA759" s="31"/>
    </row>
    <row r="760" ht="15.75" customHeight="1">
      <c r="Y760" s="31"/>
      <c r="Z760" s="31"/>
      <c r="AA760" s="31"/>
    </row>
    <row r="761" ht="15.75" customHeight="1">
      <c r="Y761" s="31"/>
      <c r="Z761" s="31"/>
      <c r="AA761" s="31"/>
    </row>
    <row r="762" ht="15.75" customHeight="1">
      <c r="Y762" s="31"/>
      <c r="Z762" s="31"/>
      <c r="AA762" s="31"/>
    </row>
    <row r="763" ht="15.75" customHeight="1">
      <c r="Y763" s="31"/>
      <c r="Z763" s="31"/>
      <c r="AA763" s="31"/>
    </row>
    <row r="764" ht="15.75" customHeight="1">
      <c r="Y764" s="31"/>
      <c r="Z764" s="31"/>
      <c r="AA764" s="31"/>
    </row>
    <row r="765" ht="15.75" customHeight="1">
      <c r="Y765" s="31"/>
      <c r="Z765" s="31"/>
      <c r="AA765" s="31"/>
    </row>
    <row r="766" ht="15.75" customHeight="1">
      <c r="Y766" s="31"/>
      <c r="Z766" s="31"/>
      <c r="AA766" s="31"/>
    </row>
    <row r="767" ht="15.75" customHeight="1">
      <c r="Y767" s="31"/>
      <c r="Z767" s="31"/>
      <c r="AA767" s="31"/>
    </row>
    <row r="768" ht="15.75" customHeight="1">
      <c r="Y768" s="31"/>
      <c r="Z768" s="31"/>
      <c r="AA768" s="31"/>
    </row>
    <row r="769" ht="15.75" customHeight="1">
      <c r="Y769" s="31"/>
      <c r="Z769" s="31"/>
      <c r="AA769" s="31"/>
    </row>
    <row r="770" ht="15.75" customHeight="1">
      <c r="Y770" s="31"/>
      <c r="Z770" s="31"/>
      <c r="AA770" s="31"/>
    </row>
    <row r="771" ht="15.75" customHeight="1">
      <c r="Y771" s="31"/>
      <c r="Z771" s="31"/>
      <c r="AA771" s="31"/>
    </row>
    <row r="772" ht="15.75" customHeight="1">
      <c r="Y772" s="31"/>
      <c r="Z772" s="31"/>
      <c r="AA772" s="31"/>
    </row>
    <row r="773" ht="15.75" customHeight="1">
      <c r="Y773" s="31"/>
      <c r="Z773" s="31"/>
      <c r="AA773" s="31"/>
    </row>
    <row r="774" ht="15.75" customHeight="1">
      <c r="Y774" s="31"/>
      <c r="Z774" s="31"/>
      <c r="AA774" s="31"/>
    </row>
    <row r="775" ht="15.75" customHeight="1">
      <c r="Y775" s="31"/>
      <c r="Z775" s="31"/>
      <c r="AA775" s="31"/>
    </row>
    <row r="776" ht="15.75" customHeight="1">
      <c r="Y776" s="31"/>
      <c r="Z776" s="31"/>
      <c r="AA776" s="31"/>
    </row>
    <row r="777" ht="15.75" customHeight="1">
      <c r="Y777" s="31"/>
      <c r="Z777" s="31"/>
      <c r="AA777" s="31"/>
    </row>
    <row r="778" ht="15.75" customHeight="1">
      <c r="Y778" s="31"/>
      <c r="Z778" s="31"/>
      <c r="AA778" s="31"/>
    </row>
    <row r="779" ht="15.75" customHeight="1">
      <c r="Y779" s="31"/>
      <c r="Z779" s="31"/>
      <c r="AA779" s="31"/>
    </row>
    <row r="780" ht="15.75" customHeight="1">
      <c r="Y780" s="31"/>
      <c r="Z780" s="31"/>
      <c r="AA780" s="31"/>
    </row>
    <row r="781" ht="15.75" customHeight="1">
      <c r="Y781" s="31"/>
      <c r="Z781" s="31"/>
      <c r="AA781" s="31"/>
    </row>
    <row r="782" ht="15.75" customHeight="1">
      <c r="Y782" s="31"/>
      <c r="Z782" s="31"/>
      <c r="AA782" s="31"/>
    </row>
    <row r="783" ht="15.75" customHeight="1">
      <c r="Y783" s="31"/>
      <c r="Z783" s="31"/>
      <c r="AA783" s="31"/>
    </row>
    <row r="784" ht="15.75" customHeight="1">
      <c r="Y784" s="31"/>
      <c r="Z784" s="31"/>
      <c r="AA784" s="31"/>
    </row>
    <row r="785" ht="15.75" customHeight="1">
      <c r="Y785" s="31"/>
      <c r="Z785" s="31"/>
      <c r="AA785" s="31"/>
    </row>
    <row r="786" ht="15.75" customHeight="1">
      <c r="Y786" s="31"/>
      <c r="Z786" s="31"/>
      <c r="AA786" s="31"/>
    </row>
    <row r="787" ht="15.75" customHeight="1">
      <c r="Y787" s="31"/>
      <c r="Z787" s="31"/>
      <c r="AA787" s="31"/>
    </row>
    <row r="788" ht="15.75" customHeight="1">
      <c r="Y788" s="31"/>
      <c r="Z788" s="31"/>
      <c r="AA788" s="31"/>
    </row>
    <row r="789" ht="15.75" customHeight="1">
      <c r="Y789" s="31"/>
      <c r="Z789" s="31"/>
      <c r="AA789" s="31"/>
    </row>
    <row r="790" ht="15.75" customHeight="1">
      <c r="Y790" s="31"/>
      <c r="Z790" s="31"/>
      <c r="AA790" s="31"/>
    </row>
    <row r="791" ht="15.75" customHeight="1">
      <c r="Y791" s="31"/>
      <c r="Z791" s="31"/>
      <c r="AA791" s="31"/>
    </row>
    <row r="792" ht="15.75" customHeight="1">
      <c r="Y792" s="31"/>
      <c r="Z792" s="31"/>
      <c r="AA792" s="31"/>
    </row>
    <row r="793" ht="15.75" customHeight="1">
      <c r="Y793" s="31"/>
      <c r="Z793" s="31"/>
      <c r="AA793" s="31"/>
    </row>
    <row r="794" ht="15.75" customHeight="1">
      <c r="Y794" s="31"/>
      <c r="Z794" s="31"/>
      <c r="AA794" s="31"/>
    </row>
    <row r="795" ht="15.75" customHeight="1">
      <c r="Y795" s="31"/>
      <c r="Z795" s="31"/>
      <c r="AA795" s="31"/>
    </row>
    <row r="796" ht="15.75" customHeight="1">
      <c r="Y796" s="31"/>
      <c r="Z796" s="31"/>
      <c r="AA796" s="31"/>
    </row>
    <row r="797" ht="15.75" customHeight="1">
      <c r="Y797" s="31"/>
      <c r="Z797" s="31"/>
      <c r="AA797" s="31"/>
    </row>
    <row r="798" ht="15.75" customHeight="1">
      <c r="Y798" s="31"/>
      <c r="Z798" s="31"/>
      <c r="AA798" s="31"/>
    </row>
    <row r="799" ht="15.75" customHeight="1">
      <c r="Y799" s="31"/>
      <c r="Z799" s="31"/>
      <c r="AA799" s="31"/>
    </row>
    <row r="800" ht="15.75" customHeight="1">
      <c r="Y800" s="31"/>
      <c r="Z800" s="31"/>
      <c r="AA800" s="31"/>
    </row>
    <row r="801" ht="15.75" customHeight="1">
      <c r="Y801" s="31"/>
      <c r="Z801" s="31"/>
      <c r="AA801" s="31"/>
    </row>
    <row r="802" ht="15.75" customHeight="1">
      <c r="Y802" s="31"/>
      <c r="Z802" s="31"/>
      <c r="AA802" s="31"/>
    </row>
    <row r="803" ht="15.75" customHeight="1">
      <c r="Y803" s="31"/>
      <c r="Z803" s="31"/>
      <c r="AA803" s="31"/>
    </row>
    <row r="804" ht="15.75" customHeight="1">
      <c r="Y804" s="31"/>
      <c r="Z804" s="31"/>
      <c r="AA804" s="31"/>
    </row>
    <row r="805" ht="15.75" customHeight="1">
      <c r="Y805" s="31"/>
      <c r="Z805" s="31"/>
      <c r="AA805" s="31"/>
    </row>
    <row r="806" ht="15.75" customHeight="1">
      <c r="Y806" s="31"/>
      <c r="Z806" s="31"/>
      <c r="AA806" s="31"/>
    </row>
    <row r="807" ht="15.75" customHeight="1">
      <c r="Y807" s="31"/>
      <c r="Z807" s="31"/>
      <c r="AA807" s="31"/>
    </row>
    <row r="808" ht="15.75" customHeight="1">
      <c r="Y808" s="31"/>
      <c r="Z808" s="31"/>
      <c r="AA808" s="31"/>
    </row>
    <row r="809" ht="15.75" customHeight="1">
      <c r="Y809" s="31"/>
      <c r="Z809" s="31"/>
      <c r="AA809" s="31"/>
    </row>
    <row r="810" ht="15.75" customHeight="1">
      <c r="Y810" s="31"/>
      <c r="Z810" s="31"/>
      <c r="AA810" s="31"/>
    </row>
    <row r="811" ht="15.75" customHeight="1">
      <c r="Y811" s="31"/>
      <c r="Z811" s="31"/>
      <c r="AA811" s="31"/>
    </row>
    <row r="812" ht="15.75" customHeight="1">
      <c r="Y812" s="31"/>
      <c r="Z812" s="31"/>
      <c r="AA812" s="31"/>
    </row>
    <row r="813" ht="15.75" customHeight="1">
      <c r="Y813" s="31"/>
      <c r="Z813" s="31"/>
      <c r="AA813" s="31"/>
    </row>
    <row r="814" ht="15.75" customHeight="1">
      <c r="Y814" s="31"/>
      <c r="Z814" s="31"/>
      <c r="AA814" s="31"/>
    </row>
    <row r="815" ht="15.75" customHeight="1">
      <c r="Y815" s="31"/>
      <c r="Z815" s="31"/>
      <c r="AA815" s="31"/>
    </row>
    <row r="816" ht="15.75" customHeight="1">
      <c r="Y816" s="31"/>
      <c r="Z816" s="31"/>
      <c r="AA816" s="31"/>
    </row>
    <row r="817" ht="15.75" customHeight="1">
      <c r="Y817" s="31"/>
      <c r="Z817" s="31"/>
      <c r="AA817" s="31"/>
    </row>
    <row r="818" ht="15.75" customHeight="1">
      <c r="Y818" s="31"/>
      <c r="Z818" s="31"/>
      <c r="AA818" s="31"/>
    </row>
    <row r="819" ht="15.75" customHeight="1">
      <c r="Y819" s="31"/>
      <c r="Z819" s="31"/>
      <c r="AA819" s="31"/>
    </row>
    <row r="820" ht="15.75" customHeight="1">
      <c r="Y820" s="31"/>
      <c r="Z820" s="31"/>
      <c r="AA820" s="31"/>
    </row>
    <row r="821" ht="15.75" customHeight="1">
      <c r="Y821" s="31"/>
      <c r="Z821" s="31"/>
      <c r="AA821" s="31"/>
    </row>
    <row r="822" ht="15.75" customHeight="1">
      <c r="Y822" s="31"/>
      <c r="Z822" s="31"/>
      <c r="AA822" s="31"/>
    </row>
    <row r="823" ht="15.75" customHeight="1">
      <c r="Y823" s="31"/>
      <c r="Z823" s="31"/>
      <c r="AA823" s="31"/>
    </row>
    <row r="824" ht="15.75" customHeight="1">
      <c r="Y824" s="31"/>
      <c r="Z824" s="31"/>
      <c r="AA824" s="31"/>
    </row>
    <row r="825" ht="15.75" customHeight="1">
      <c r="Y825" s="31"/>
      <c r="Z825" s="31"/>
      <c r="AA825" s="31"/>
    </row>
    <row r="826" ht="15.75" customHeight="1">
      <c r="Y826" s="31"/>
      <c r="Z826" s="31"/>
      <c r="AA826" s="31"/>
    </row>
    <row r="827" ht="15.75" customHeight="1">
      <c r="Y827" s="31"/>
      <c r="Z827" s="31"/>
      <c r="AA827" s="31"/>
    </row>
    <row r="828" ht="15.75" customHeight="1">
      <c r="Y828" s="31"/>
      <c r="Z828" s="31"/>
      <c r="AA828" s="31"/>
    </row>
    <row r="829" ht="15.75" customHeight="1">
      <c r="Y829" s="31"/>
      <c r="Z829" s="31"/>
      <c r="AA829" s="31"/>
    </row>
    <row r="830" ht="15.75" customHeight="1">
      <c r="Y830" s="31"/>
      <c r="Z830" s="31"/>
      <c r="AA830" s="31"/>
    </row>
    <row r="831" ht="15.75" customHeight="1">
      <c r="Y831" s="31"/>
      <c r="Z831" s="31"/>
      <c r="AA831" s="31"/>
    </row>
    <row r="832" ht="15.75" customHeight="1">
      <c r="Y832" s="31"/>
      <c r="Z832" s="31"/>
      <c r="AA832" s="31"/>
    </row>
    <row r="833" ht="15.75" customHeight="1">
      <c r="Y833" s="31"/>
      <c r="Z833" s="31"/>
      <c r="AA833" s="31"/>
    </row>
    <row r="834" ht="15.75" customHeight="1">
      <c r="Y834" s="31"/>
      <c r="Z834" s="31"/>
      <c r="AA834" s="31"/>
    </row>
    <row r="835" ht="15.75" customHeight="1">
      <c r="Y835" s="31"/>
      <c r="Z835" s="31"/>
      <c r="AA835" s="31"/>
    </row>
    <row r="836" ht="15.75" customHeight="1">
      <c r="Y836" s="31"/>
      <c r="Z836" s="31"/>
      <c r="AA836" s="31"/>
    </row>
    <row r="837" ht="15.75" customHeight="1">
      <c r="Y837" s="31"/>
      <c r="Z837" s="31"/>
      <c r="AA837" s="31"/>
    </row>
    <row r="838" ht="15.75" customHeight="1">
      <c r="Y838" s="31"/>
      <c r="Z838" s="31"/>
      <c r="AA838" s="31"/>
    </row>
    <row r="839" ht="15.75" customHeight="1">
      <c r="Y839" s="31"/>
      <c r="Z839" s="31"/>
      <c r="AA839" s="31"/>
    </row>
    <row r="840" ht="15.75" customHeight="1">
      <c r="Y840" s="31"/>
      <c r="Z840" s="31"/>
      <c r="AA840" s="31"/>
    </row>
    <row r="841" ht="15.75" customHeight="1">
      <c r="Y841" s="31"/>
      <c r="Z841" s="31"/>
      <c r="AA841" s="31"/>
    </row>
    <row r="842" ht="15.75" customHeight="1">
      <c r="Y842" s="31"/>
      <c r="Z842" s="31"/>
      <c r="AA842" s="31"/>
    </row>
    <row r="843" ht="15.75" customHeight="1">
      <c r="Y843" s="31"/>
      <c r="Z843" s="31"/>
      <c r="AA843" s="31"/>
    </row>
    <row r="844" ht="15.75" customHeight="1">
      <c r="Y844" s="31"/>
      <c r="Z844" s="31"/>
      <c r="AA844" s="31"/>
    </row>
    <row r="845" ht="15.75" customHeight="1">
      <c r="Y845" s="31"/>
      <c r="Z845" s="31"/>
      <c r="AA845" s="31"/>
    </row>
    <row r="846" ht="15.75" customHeight="1">
      <c r="Y846" s="31"/>
      <c r="Z846" s="31"/>
      <c r="AA846" s="31"/>
    </row>
    <row r="847" ht="15.75" customHeight="1">
      <c r="Y847" s="31"/>
      <c r="Z847" s="31"/>
      <c r="AA847" s="31"/>
    </row>
    <row r="848" ht="15.75" customHeight="1">
      <c r="Y848" s="31"/>
      <c r="Z848" s="31"/>
      <c r="AA848" s="31"/>
    </row>
    <row r="849" ht="15.75" customHeight="1">
      <c r="Y849" s="31"/>
      <c r="Z849" s="31"/>
      <c r="AA849" s="31"/>
    </row>
    <row r="850" ht="15.75" customHeight="1">
      <c r="Y850" s="31"/>
      <c r="Z850" s="31"/>
      <c r="AA850" s="31"/>
    </row>
    <row r="851" ht="15.75" customHeight="1">
      <c r="Y851" s="31"/>
      <c r="Z851" s="31"/>
      <c r="AA851" s="31"/>
    </row>
    <row r="852" ht="15.75" customHeight="1">
      <c r="Y852" s="31"/>
      <c r="Z852" s="31"/>
      <c r="AA852" s="31"/>
    </row>
    <row r="853" ht="15.75" customHeight="1">
      <c r="Y853" s="31"/>
      <c r="Z853" s="31"/>
      <c r="AA853" s="31"/>
    </row>
    <row r="854" ht="15.75" customHeight="1">
      <c r="Y854" s="31"/>
      <c r="Z854" s="31"/>
      <c r="AA854" s="31"/>
    </row>
    <row r="855" ht="15.75" customHeight="1">
      <c r="Y855" s="31"/>
      <c r="Z855" s="31"/>
      <c r="AA855" s="31"/>
    </row>
    <row r="856" ht="15.75" customHeight="1">
      <c r="Y856" s="31"/>
      <c r="Z856" s="31"/>
      <c r="AA856" s="31"/>
    </row>
    <row r="857" ht="15.75" customHeight="1">
      <c r="Y857" s="31"/>
      <c r="Z857" s="31"/>
      <c r="AA857" s="31"/>
    </row>
    <row r="858" ht="15.75" customHeight="1">
      <c r="Y858" s="31"/>
      <c r="Z858" s="31"/>
      <c r="AA858" s="31"/>
    </row>
    <row r="859" ht="15.75" customHeight="1">
      <c r="Y859" s="31"/>
      <c r="Z859" s="31"/>
      <c r="AA859" s="31"/>
    </row>
    <row r="860" ht="15.75" customHeight="1">
      <c r="Y860" s="31"/>
      <c r="Z860" s="31"/>
      <c r="AA860" s="31"/>
    </row>
    <row r="861" ht="15.75" customHeight="1">
      <c r="Y861" s="31"/>
      <c r="Z861" s="31"/>
      <c r="AA861" s="31"/>
    </row>
    <row r="862" ht="15.75" customHeight="1">
      <c r="Y862" s="31"/>
      <c r="Z862" s="31"/>
      <c r="AA862" s="31"/>
    </row>
    <row r="863" ht="15.75" customHeight="1">
      <c r="Y863" s="31"/>
      <c r="Z863" s="31"/>
      <c r="AA863" s="31"/>
    </row>
    <row r="864" ht="15.75" customHeight="1">
      <c r="Y864" s="31"/>
      <c r="Z864" s="31"/>
      <c r="AA864" s="31"/>
    </row>
    <row r="865" ht="15.75" customHeight="1">
      <c r="Y865" s="31"/>
      <c r="Z865" s="31"/>
      <c r="AA865" s="31"/>
    </row>
    <row r="866" ht="15.75" customHeight="1">
      <c r="Y866" s="31"/>
      <c r="Z866" s="31"/>
      <c r="AA866" s="31"/>
    </row>
    <row r="867" ht="15.75" customHeight="1">
      <c r="Y867" s="31"/>
      <c r="Z867" s="31"/>
      <c r="AA867" s="31"/>
    </row>
    <row r="868" ht="15.75" customHeight="1">
      <c r="Y868" s="31"/>
      <c r="Z868" s="31"/>
      <c r="AA868" s="31"/>
    </row>
    <row r="869" ht="15.75" customHeight="1">
      <c r="Y869" s="31"/>
      <c r="Z869" s="31"/>
      <c r="AA869" s="31"/>
    </row>
    <row r="870" ht="15.75" customHeight="1">
      <c r="Y870" s="31"/>
      <c r="Z870" s="31"/>
      <c r="AA870" s="31"/>
    </row>
    <row r="871" ht="15.75" customHeight="1">
      <c r="Y871" s="31"/>
      <c r="Z871" s="31"/>
      <c r="AA871" s="31"/>
    </row>
    <row r="872" ht="15.75" customHeight="1">
      <c r="Y872" s="31"/>
      <c r="Z872" s="31"/>
      <c r="AA872" s="31"/>
    </row>
    <row r="873" ht="15.75" customHeight="1">
      <c r="Y873" s="31"/>
      <c r="Z873" s="31"/>
      <c r="AA873" s="31"/>
    </row>
    <row r="874" ht="15.75" customHeight="1">
      <c r="Y874" s="31"/>
      <c r="Z874" s="31"/>
      <c r="AA874" s="31"/>
    </row>
    <row r="875" ht="15.75" customHeight="1">
      <c r="Y875" s="31"/>
      <c r="Z875" s="31"/>
      <c r="AA875" s="31"/>
    </row>
    <row r="876" ht="15.75" customHeight="1">
      <c r="Y876" s="31"/>
      <c r="Z876" s="31"/>
      <c r="AA876" s="31"/>
    </row>
    <row r="877" ht="15.75" customHeight="1">
      <c r="Y877" s="31"/>
      <c r="Z877" s="31"/>
      <c r="AA877" s="31"/>
    </row>
    <row r="878" ht="15.75" customHeight="1">
      <c r="Y878" s="31"/>
      <c r="Z878" s="31"/>
      <c r="AA878" s="31"/>
    </row>
    <row r="879" ht="15.75" customHeight="1">
      <c r="Y879" s="31"/>
      <c r="Z879" s="31"/>
      <c r="AA879" s="31"/>
    </row>
    <row r="880" ht="15.75" customHeight="1">
      <c r="Y880" s="31"/>
      <c r="Z880" s="31"/>
      <c r="AA880" s="31"/>
    </row>
    <row r="881" ht="15.75" customHeight="1">
      <c r="Y881" s="31"/>
      <c r="Z881" s="31"/>
      <c r="AA881" s="31"/>
    </row>
    <row r="882" ht="15.75" customHeight="1">
      <c r="Y882" s="31"/>
      <c r="Z882" s="31"/>
      <c r="AA882" s="31"/>
    </row>
    <row r="883" ht="15.75" customHeight="1">
      <c r="Y883" s="31"/>
      <c r="Z883" s="31"/>
      <c r="AA883" s="31"/>
    </row>
    <row r="884" ht="15.75" customHeight="1">
      <c r="Y884" s="31"/>
      <c r="Z884" s="31"/>
      <c r="AA884" s="31"/>
    </row>
    <row r="885" ht="15.75" customHeight="1">
      <c r="Y885" s="31"/>
      <c r="Z885" s="31"/>
      <c r="AA885" s="31"/>
    </row>
    <row r="886" ht="15.75" customHeight="1">
      <c r="Y886" s="31"/>
      <c r="Z886" s="31"/>
      <c r="AA886" s="31"/>
    </row>
    <row r="887" ht="15.75" customHeight="1">
      <c r="Y887" s="31"/>
      <c r="Z887" s="31"/>
      <c r="AA887" s="31"/>
    </row>
    <row r="888" ht="15.75" customHeight="1">
      <c r="Y888" s="31"/>
      <c r="Z888" s="31"/>
      <c r="AA888" s="31"/>
    </row>
    <row r="889" ht="15.75" customHeight="1">
      <c r="Y889" s="31"/>
      <c r="Z889" s="31"/>
      <c r="AA889" s="31"/>
    </row>
    <row r="890" ht="15.75" customHeight="1">
      <c r="Y890" s="31"/>
      <c r="Z890" s="31"/>
      <c r="AA890" s="31"/>
    </row>
    <row r="891" ht="15.75" customHeight="1">
      <c r="Y891" s="31"/>
      <c r="Z891" s="31"/>
      <c r="AA891" s="31"/>
    </row>
    <row r="892" ht="15.75" customHeight="1">
      <c r="Y892" s="31"/>
      <c r="Z892" s="31"/>
      <c r="AA892" s="31"/>
    </row>
    <row r="893" ht="15.75" customHeight="1">
      <c r="Y893" s="31"/>
      <c r="Z893" s="31"/>
      <c r="AA893" s="31"/>
    </row>
    <row r="894" ht="15.75" customHeight="1">
      <c r="Y894" s="31"/>
      <c r="Z894" s="31"/>
      <c r="AA894" s="31"/>
    </row>
    <row r="895" ht="15.75" customHeight="1">
      <c r="Y895" s="31"/>
      <c r="Z895" s="31"/>
      <c r="AA895" s="31"/>
    </row>
    <row r="896" ht="15.75" customHeight="1">
      <c r="Y896" s="31"/>
      <c r="Z896" s="31"/>
      <c r="AA896" s="31"/>
    </row>
    <row r="897" ht="15.75" customHeight="1">
      <c r="Y897" s="31"/>
      <c r="Z897" s="31"/>
      <c r="AA897" s="31"/>
    </row>
    <row r="898" ht="15.75" customHeight="1">
      <c r="Y898" s="31"/>
      <c r="Z898" s="31"/>
      <c r="AA898" s="31"/>
    </row>
    <row r="899" ht="15.75" customHeight="1">
      <c r="Y899" s="31"/>
      <c r="Z899" s="31"/>
      <c r="AA899" s="31"/>
    </row>
    <row r="900" ht="15.75" customHeight="1">
      <c r="Y900" s="31"/>
      <c r="Z900" s="31"/>
      <c r="AA900" s="31"/>
    </row>
    <row r="901" ht="15.75" customHeight="1">
      <c r="Y901" s="31"/>
      <c r="Z901" s="31"/>
      <c r="AA901" s="31"/>
    </row>
    <row r="902" ht="15.75" customHeight="1">
      <c r="Y902" s="31"/>
      <c r="Z902" s="31"/>
      <c r="AA902" s="31"/>
    </row>
    <row r="903" ht="15.75" customHeight="1">
      <c r="Y903" s="31"/>
      <c r="Z903" s="31"/>
      <c r="AA903" s="31"/>
    </row>
    <row r="904" ht="15.75" customHeight="1">
      <c r="Y904" s="31"/>
      <c r="Z904" s="31"/>
      <c r="AA904" s="31"/>
    </row>
    <row r="905" ht="15.75" customHeight="1">
      <c r="Y905" s="31"/>
      <c r="Z905" s="31"/>
      <c r="AA905" s="31"/>
    </row>
    <row r="906" ht="15.75" customHeight="1">
      <c r="Y906" s="31"/>
      <c r="Z906" s="31"/>
      <c r="AA906" s="31"/>
    </row>
    <row r="907" ht="15.75" customHeight="1">
      <c r="Y907" s="31"/>
      <c r="Z907" s="31"/>
      <c r="AA907" s="31"/>
    </row>
    <row r="908" ht="15.75" customHeight="1">
      <c r="Y908" s="31"/>
      <c r="Z908" s="31"/>
      <c r="AA908" s="31"/>
    </row>
    <row r="909" ht="15.75" customHeight="1">
      <c r="Y909" s="31"/>
      <c r="Z909" s="31"/>
      <c r="AA909" s="31"/>
    </row>
    <row r="910" ht="15.75" customHeight="1">
      <c r="Y910" s="31"/>
      <c r="Z910" s="31"/>
      <c r="AA910" s="31"/>
    </row>
    <row r="911" ht="15.75" customHeight="1">
      <c r="Y911" s="31"/>
      <c r="Z911" s="31"/>
      <c r="AA911" s="31"/>
    </row>
    <row r="912" ht="15.75" customHeight="1">
      <c r="Y912" s="31"/>
      <c r="Z912" s="31"/>
      <c r="AA912" s="31"/>
    </row>
    <row r="913" ht="15.75" customHeight="1">
      <c r="Y913" s="31"/>
      <c r="Z913" s="31"/>
      <c r="AA913" s="31"/>
    </row>
    <row r="914" ht="15.75" customHeight="1">
      <c r="Y914" s="31"/>
      <c r="Z914" s="31"/>
      <c r="AA914" s="31"/>
    </row>
    <row r="915" ht="15.75" customHeight="1">
      <c r="Y915" s="31"/>
      <c r="Z915" s="31"/>
      <c r="AA915" s="31"/>
    </row>
    <row r="916" ht="15.75" customHeight="1">
      <c r="Y916" s="31"/>
      <c r="Z916" s="31"/>
      <c r="AA916" s="31"/>
    </row>
    <row r="917" ht="15.75" customHeight="1">
      <c r="Y917" s="31"/>
      <c r="Z917" s="31"/>
      <c r="AA917" s="31"/>
    </row>
    <row r="918" ht="15.75" customHeight="1">
      <c r="Y918" s="31"/>
      <c r="Z918" s="31"/>
      <c r="AA918" s="31"/>
    </row>
    <row r="919" ht="15.75" customHeight="1">
      <c r="Y919" s="31"/>
      <c r="Z919" s="31"/>
      <c r="AA919" s="31"/>
    </row>
    <row r="920" ht="15.75" customHeight="1">
      <c r="Y920" s="31"/>
      <c r="Z920" s="31"/>
      <c r="AA920" s="31"/>
    </row>
    <row r="921" ht="15.75" customHeight="1">
      <c r="Y921" s="31"/>
      <c r="Z921" s="31"/>
      <c r="AA921" s="31"/>
    </row>
    <row r="922" ht="15.75" customHeight="1">
      <c r="Y922" s="31"/>
      <c r="Z922" s="31"/>
      <c r="AA922" s="31"/>
    </row>
    <row r="923" ht="15.75" customHeight="1">
      <c r="Y923" s="31"/>
      <c r="Z923" s="31"/>
      <c r="AA923" s="31"/>
    </row>
    <row r="924" ht="15.75" customHeight="1">
      <c r="Y924" s="31"/>
      <c r="Z924" s="31"/>
      <c r="AA924" s="31"/>
    </row>
    <row r="925" ht="15.75" customHeight="1">
      <c r="Y925" s="31"/>
      <c r="Z925" s="31"/>
      <c r="AA925" s="31"/>
    </row>
    <row r="926" ht="15.75" customHeight="1">
      <c r="Y926" s="31"/>
      <c r="Z926" s="31"/>
      <c r="AA926" s="31"/>
    </row>
    <row r="927" ht="15.75" customHeight="1">
      <c r="Y927" s="31"/>
      <c r="Z927" s="31"/>
      <c r="AA927" s="31"/>
    </row>
    <row r="928" ht="15.75" customHeight="1">
      <c r="Y928" s="31"/>
      <c r="Z928" s="31"/>
      <c r="AA928" s="31"/>
    </row>
    <row r="929" ht="15.75" customHeight="1">
      <c r="Y929" s="31"/>
      <c r="Z929" s="31"/>
      <c r="AA929" s="31"/>
    </row>
    <row r="930" ht="15.75" customHeight="1">
      <c r="Y930" s="31"/>
      <c r="Z930" s="31"/>
      <c r="AA930" s="31"/>
    </row>
    <row r="931" ht="15.75" customHeight="1">
      <c r="Y931" s="31"/>
      <c r="Z931" s="31"/>
      <c r="AA931" s="31"/>
    </row>
    <row r="932" ht="15.75" customHeight="1">
      <c r="Y932" s="31"/>
      <c r="Z932" s="31"/>
      <c r="AA932" s="31"/>
    </row>
    <row r="933" ht="15.75" customHeight="1">
      <c r="Y933" s="31"/>
      <c r="Z933" s="31"/>
      <c r="AA933" s="31"/>
    </row>
    <row r="934" ht="15.75" customHeight="1">
      <c r="Y934" s="31"/>
      <c r="Z934" s="31"/>
      <c r="AA934" s="31"/>
    </row>
    <row r="935" ht="15.75" customHeight="1">
      <c r="Y935" s="31"/>
      <c r="Z935" s="31"/>
      <c r="AA935" s="31"/>
    </row>
    <row r="936" ht="15.75" customHeight="1">
      <c r="Y936" s="31"/>
      <c r="Z936" s="31"/>
      <c r="AA936" s="31"/>
    </row>
    <row r="937" ht="15.75" customHeight="1">
      <c r="Y937" s="31"/>
      <c r="Z937" s="31"/>
      <c r="AA937" s="31"/>
    </row>
    <row r="938" ht="15.75" customHeight="1">
      <c r="Y938" s="31"/>
      <c r="Z938" s="31"/>
      <c r="AA938" s="31"/>
    </row>
    <row r="939" ht="15.75" customHeight="1">
      <c r="Y939" s="31"/>
      <c r="Z939" s="31"/>
      <c r="AA939" s="31"/>
    </row>
    <row r="940" ht="15.75" customHeight="1">
      <c r="Y940" s="31"/>
      <c r="Z940" s="31"/>
      <c r="AA940" s="31"/>
    </row>
    <row r="941" ht="15.75" customHeight="1">
      <c r="Y941" s="31"/>
      <c r="Z941" s="31"/>
      <c r="AA941" s="31"/>
    </row>
    <row r="942" ht="15.75" customHeight="1">
      <c r="Y942" s="31"/>
      <c r="Z942" s="31"/>
      <c r="AA942" s="31"/>
    </row>
    <row r="943" ht="15.75" customHeight="1">
      <c r="Y943" s="31"/>
      <c r="Z943" s="31"/>
      <c r="AA943" s="31"/>
    </row>
    <row r="944" ht="15.75" customHeight="1">
      <c r="Y944" s="31"/>
      <c r="Z944" s="31"/>
      <c r="AA944" s="31"/>
    </row>
    <row r="945" ht="15.75" customHeight="1">
      <c r="Y945" s="31"/>
      <c r="Z945" s="31"/>
      <c r="AA945" s="31"/>
    </row>
    <row r="946" ht="15.75" customHeight="1">
      <c r="Y946" s="31"/>
      <c r="Z946" s="31"/>
      <c r="AA946" s="31"/>
    </row>
    <row r="947" ht="15.75" customHeight="1">
      <c r="Y947" s="31"/>
      <c r="Z947" s="31"/>
      <c r="AA947" s="31"/>
    </row>
    <row r="948" ht="15.75" customHeight="1">
      <c r="Y948" s="31"/>
      <c r="Z948" s="31"/>
      <c r="AA948" s="31"/>
    </row>
    <row r="949" ht="15.75" customHeight="1">
      <c r="Y949" s="31"/>
      <c r="Z949" s="31"/>
      <c r="AA949" s="31"/>
    </row>
    <row r="950" ht="15.75" customHeight="1">
      <c r="Y950" s="31"/>
      <c r="Z950" s="31"/>
      <c r="AA950" s="31"/>
    </row>
    <row r="951" ht="15.75" customHeight="1">
      <c r="Y951" s="31"/>
      <c r="Z951" s="31"/>
      <c r="AA951" s="31"/>
    </row>
    <row r="952" ht="15.75" customHeight="1">
      <c r="Y952" s="31"/>
      <c r="Z952" s="31"/>
      <c r="AA952" s="31"/>
    </row>
    <row r="953" ht="15.75" customHeight="1">
      <c r="Y953" s="31"/>
      <c r="Z953" s="31"/>
      <c r="AA953" s="31"/>
    </row>
    <row r="954" ht="15.75" customHeight="1">
      <c r="Y954" s="31"/>
      <c r="Z954" s="31"/>
      <c r="AA954" s="31"/>
    </row>
    <row r="955" ht="15.75" customHeight="1">
      <c r="Y955" s="31"/>
      <c r="Z955" s="31"/>
      <c r="AA955" s="31"/>
    </row>
    <row r="956" ht="15.75" customHeight="1">
      <c r="Y956" s="31"/>
      <c r="Z956" s="31"/>
      <c r="AA956" s="31"/>
    </row>
    <row r="957" ht="15.75" customHeight="1">
      <c r="Y957" s="31"/>
      <c r="Z957" s="31"/>
      <c r="AA957" s="31"/>
    </row>
    <row r="958" ht="15.75" customHeight="1">
      <c r="Y958" s="31"/>
      <c r="Z958" s="31"/>
      <c r="AA958" s="31"/>
    </row>
    <row r="959" ht="15.75" customHeight="1">
      <c r="Y959" s="31"/>
      <c r="Z959" s="31"/>
      <c r="AA959" s="31"/>
    </row>
    <row r="960" ht="15.75" customHeight="1">
      <c r="Y960" s="31"/>
      <c r="Z960" s="31"/>
      <c r="AA960" s="31"/>
    </row>
    <row r="961" ht="15.75" customHeight="1">
      <c r="Y961" s="31"/>
      <c r="Z961" s="31"/>
      <c r="AA961" s="31"/>
    </row>
    <row r="962" ht="15.75" customHeight="1">
      <c r="Y962" s="31"/>
      <c r="Z962" s="31"/>
      <c r="AA962" s="31"/>
    </row>
    <row r="963" ht="15.75" customHeight="1">
      <c r="Y963" s="31"/>
      <c r="Z963" s="31"/>
      <c r="AA963" s="31"/>
    </row>
    <row r="964" ht="15.75" customHeight="1">
      <c r="Y964" s="31"/>
      <c r="Z964" s="31"/>
      <c r="AA964" s="31"/>
    </row>
    <row r="965" ht="15.75" customHeight="1">
      <c r="Y965" s="31"/>
      <c r="Z965" s="31"/>
      <c r="AA965" s="31"/>
    </row>
    <row r="966" ht="15.75" customHeight="1">
      <c r="Y966" s="31"/>
      <c r="Z966" s="31"/>
      <c r="AA966" s="31"/>
    </row>
    <row r="967" ht="15.75" customHeight="1">
      <c r="Y967" s="31"/>
      <c r="Z967" s="31"/>
      <c r="AA967" s="31"/>
    </row>
    <row r="968" ht="15.75" customHeight="1">
      <c r="Y968" s="31"/>
      <c r="Z968" s="31"/>
      <c r="AA968" s="31"/>
    </row>
    <row r="969" ht="15.75" customHeight="1">
      <c r="Y969" s="31"/>
      <c r="Z969" s="31"/>
      <c r="AA969" s="31"/>
    </row>
    <row r="970" ht="15.75" customHeight="1">
      <c r="Y970" s="31"/>
      <c r="Z970" s="31"/>
      <c r="AA970" s="31"/>
    </row>
    <row r="971" ht="15.75" customHeight="1">
      <c r="Y971" s="31"/>
      <c r="Z971" s="31"/>
      <c r="AA971" s="31"/>
    </row>
    <row r="972" ht="15.75" customHeight="1">
      <c r="Y972" s="31"/>
      <c r="Z972" s="31"/>
      <c r="AA972" s="31"/>
    </row>
    <row r="973" ht="15.75" customHeight="1">
      <c r="Y973" s="31"/>
      <c r="Z973" s="31"/>
      <c r="AA973" s="31"/>
    </row>
    <row r="974" ht="15.75" customHeight="1">
      <c r="Y974" s="31"/>
      <c r="Z974" s="31"/>
      <c r="AA974" s="31"/>
    </row>
    <row r="975" ht="15.75" customHeight="1">
      <c r="Y975" s="31"/>
      <c r="Z975" s="31"/>
      <c r="AA975" s="31"/>
    </row>
    <row r="976" ht="15.75" customHeight="1">
      <c r="Y976" s="31"/>
      <c r="Z976" s="31"/>
      <c r="AA976" s="31"/>
    </row>
    <row r="977" ht="15.75" customHeight="1">
      <c r="Y977" s="31"/>
      <c r="Z977" s="31"/>
      <c r="AA977" s="31"/>
    </row>
    <row r="978" ht="15.75" customHeight="1">
      <c r="Y978" s="31"/>
      <c r="Z978" s="31"/>
      <c r="AA978" s="31"/>
    </row>
    <row r="979" ht="15.75" customHeight="1">
      <c r="Y979" s="31"/>
      <c r="Z979" s="31"/>
      <c r="AA979" s="31"/>
    </row>
    <row r="980" ht="15.75" customHeight="1">
      <c r="Y980" s="31"/>
      <c r="Z980" s="31"/>
      <c r="AA980" s="31"/>
    </row>
    <row r="981" ht="15.75" customHeight="1">
      <c r="Y981" s="31"/>
      <c r="Z981" s="31"/>
      <c r="AA981" s="31"/>
    </row>
    <row r="982" ht="15.75" customHeight="1">
      <c r="Y982" s="31"/>
      <c r="Z982" s="31"/>
      <c r="AA982" s="31"/>
    </row>
    <row r="983" ht="15.75" customHeight="1">
      <c r="Y983" s="31"/>
      <c r="Z983" s="31"/>
      <c r="AA983" s="31"/>
    </row>
    <row r="984" ht="15.75" customHeight="1">
      <c r="Y984" s="31"/>
      <c r="Z984" s="31"/>
      <c r="AA984" s="31"/>
    </row>
    <row r="985" ht="15.75" customHeight="1">
      <c r="Y985" s="31"/>
      <c r="Z985" s="31"/>
      <c r="AA985" s="31"/>
    </row>
    <row r="986" ht="15.75" customHeight="1">
      <c r="Y986" s="31"/>
      <c r="Z986" s="31"/>
      <c r="AA986" s="31"/>
    </row>
    <row r="987" ht="15.75" customHeight="1">
      <c r="Y987" s="31"/>
      <c r="Z987" s="31"/>
      <c r="AA987" s="31"/>
    </row>
    <row r="988" ht="15.75" customHeight="1">
      <c r="Y988" s="31"/>
      <c r="Z988" s="31"/>
      <c r="AA988" s="31"/>
    </row>
    <row r="989" ht="15.75" customHeight="1">
      <c r="Y989" s="31"/>
      <c r="Z989" s="31"/>
      <c r="AA989" s="31"/>
    </row>
    <row r="990" ht="15.75" customHeight="1">
      <c r="Y990" s="31"/>
      <c r="Z990" s="31"/>
      <c r="AA990" s="31"/>
    </row>
    <row r="991" ht="15.75" customHeight="1">
      <c r="Y991" s="31"/>
      <c r="Z991" s="31"/>
      <c r="AA991" s="31"/>
    </row>
    <row r="992" ht="15.75" customHeight="1">
      <c r="Y992" s="31"/>
      <c r="Z992" s="31"/>
      <c r="AA992" s="31"/>
    </row>
    <row r="993" ht="15.75" customHeight="1">
      <c r="Y993" s="31"/>
      <c r="Z993" s="31"/>
      <c r="AA993" s="31"/>
    </row>
    <row r="994" ht="15.75" customHeight="1">
      <c r="Y994" s="31"/>
      <c r="Z994" s="31"/>
      <c r="AA994" s="31"/>
    </row>
    <row r="995" ht="15.75" customHeight="1">
      <c r="Y995" s="31"/>
      <c r="Z995" s="31"/>
      <c r="AA995" s="31"/>
    </row>
    <row r="996" ht="15.75" customHeight="1">
      <c r="Y996" s="31"/>
      <c r="Z996" s="31"/>
      <c r="AA996" s="31"/>
    </row>
    <row r="997" ht="15.75" customHeight="1">
      <c r="Y997" s="31"/>
      <c r="Z997" s="31"/>
      <c r="AA997" s="31"/>
    </row>
    <row r="998" ht="15.75" customHeight="1">
      <c r="Y998" s="31"/>
      <c r="Z998" s="31"/>
      <c r="AA998" s="31"/>
    </row>
    <row r="999" ht="15.75" customHeight="1">
      <c r="Y999" s="31"/>
      <c r="Z999" s="31"/>
      <c r="AA999" s="31"/>
    </row>
    <row r="1000" ht="15.75" customHeight="1">
      <c r="Y1000" s="31"/>
      <c r="Z1000" s="31"/>
      <c r="AA1000" s="31"/>
    </row>
  </sheetData>
  <mergeCells count="14">
    <mergeCell ref="D5:F5"/>
    <mergeCell ref="G5:I5"/>
    <mergeCell ref="J5:L5"/>
    <mergeCell ref="M5:O5"/>
    <mergeCell ref="P5:R5"/>
    <mergeCell ref="S5:U5"/>
    <mergeCell ref="A1:X1"/>
    <mergeCell ref="A2:X2"/>
    <mergeCell ref="A3:X3"/>
    <mergeCell ref="A4:X4"/>
    <mergeCell ref="A5:A6"/>
    <mergeCell ref="B5:B6"/>
    <mergeCell ref="C5:C6"/>
    <mergeCell ref="V5:X5"/>
  </mergeCells>
  <conditionalFormatting sqref="F2:F56">
    <cfRule type="cellIs" dxfId="0" priority="1" operator="lessThan">
      <formula>49</formula>
    </cfRule>
  </conditionalFormatting>
  <conditionalFormatting sqref="I7:I56">
    <cfRule type="cellIs" dxfId="0" priority="2" operator="lessThan">
      <formula>49</formula>
    </cfRule>
  </conditionalFormatting>
  <conditionalFormatting sqref="L7:L56">
    <cfRule type="cellIs" dxfId="0" priority="3" operator="lessThan">
      <formula>49</formula>
    </cfRule>
  </conditionalFormatting>
  <conditionalFormatting sqref="O7:O56">
    <cfRule type="cellIs" dxfId="0" priority="4" operator="lessThan">
      <formula>49</formula>
    </cfRule>
  </conditionalFormatting>
  <conditionalFormatting sqref="R7:R56">
    <cfRule type="cellIs" dxfId="0" priority="5" operator="lessThan">
      <formula>49</formula>
    </cfRule>
  </conditionalFormatting>
  <conditionalFormatting sqref="U7:U56">
    <cfRule type="cellIs" dxfId="0" priority="6" operator="lessThan">
      <formula>49</formula>
    </cfRule>
  </conditionalFormatting>
  <printOptions/>
  <pageMargins bottom="0.101956745623069" footer="0.0" header="0.0" left="0.8119047619047619" right="0.22657054582904224" top="0.15714285714285714"/>
  <pageSetup scale="6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2.38"/>
    <col customWidth="1" min="3" max="3" width="21.63"/>
    <col customWidth="1" min="4" max="11" width="6.5"/>
    <col customWidth="1" min="12" max="26" width="12.5"/>
  </cols>
  <sheetData>
    <row r="1">
      <c r="A1" s="32" t="s">
        <v>120</v>
      </c>
      <c r="B1" s="6"/>
      <c r="C1" s="6"/>
      <c r="D1" s="6"/>
      <c r="E1" s="6"/>
      <c r="F1" s="6"/>
      <c r="G1" s="6"/>
      <c r="H1" s="6"/>
      <c r="I1" s="6"/>
      <c r="J1" s="6"/>
      <c r="K1" s="7"/>
    </row>
    <row r="2" ht="12.75" customHeight="1">
      <c r="A2" s="33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</row>
    <row r="3" ht="12.75" customHeight="1">
      <c r="A3" s="8" t="s">
        <v>121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ht="12.75" customHeight="1">
      <c r="A4" s="9" t="s">
        <v>3</v>
      </c>
      <c r="B4" s="6"/>
      <c r="C4" s="6"/>
      <c r="D4" s="6"/>
      <c r="E4" s="6"/>
      <c r="F4" s="6"/>
      <c r="G4" s="6"/>
      <c r="H4" s="6"/>
      <c r="I4" s="6"/>
      <c r="J4" s="6"/>
      <c r="K4" s="7"/>
    </row>
    <row r="5" ht="12.75" customHeight="1">
      <c r="A5" s="34" t="s">
        <v>4</v>
      </c>
      <c r="B5" s="34" t="s">
        <v>5</v>
      </c>
      <c r="C5" s="34" t="s">
        <v>6</v>
      </c>
      <c r="D5" s="35" t="s">
        <v>122</v>
      </c>
      <c r="E5" s="35" t="s">
        <v>123</v>
      </c>
      <c r="F5" s="35" t="s">
        <v>9</v>
      </c>
      <c r="G5" s="35" t="s">
        <v>10</v>
      </c>
      <c r="H5" s="35" t="s">
        <v>11</v>
      </c>
      <c r="I5" s="35" t="s">
        <v>12</v>
      </c>
      <c r="J5" s="35" t="s">
        <v>13</v>
      </c>
      <c r="K5" s="36" t="s">
        <v>124</v>
      </c>
    </row>
    <row r="6" ht="12.75" customHeight="1">
      <c r="A6" s="37"/>
      <c r="B6" s="37"/>
      <c r="C6" s="37"/>
      <c r="D6" s="36" t="s">
        <v>16</v>
      </c>
      <c r="E6" s="35" t="s">
        <v>16</v>
      </c>
      <c r="F6" s="36" t="s">
        <v>16</v>
      </c>
      <c r="G6" s="36" t="s">
        <v>16</v>
      </c>
      <c r="H6" s="35" t="s">
        <v>16</v>
      </c>
      <c r="I6" s="35" t="s">
        <v>16</v>
      </c>
      <c r="J6" s="35" t="s">
        <v>16</v>
      </c>
      <c r="K6" s="36" t="s">
        <v>16</v>
      </c>
    </row>
    <row r="7" ht="12.75" customHeight="1">
      <c r="A7" s="16">
        <v>1.0</v>
      </c>
      <c r="B7" s="16" t="s">
        <v>20</v>
      </c>
      <c r="C7" s="38" t="s">
        <v>125</v>
      </c>
      <c r="D7" s="39">
        <f>'II SEM C'!F7</f>
        <v>14.28571429</v>
      </c>
      <c r="E7" s="39">
        <f>'II SEM C'!I7</f>
        <v>94.73684211</v>
      </c>
      <c r="F7" s="39">
        <f>'II SEM C'!L7</f>
        <v>88.46153846</v>
      </c>
      <c r="G7" s="39">
        <f>'II SEM C'!O7</f>
        <v>81.81818182</v>
      </c>
      <c r="H7" s="39">
        <f>'II SEM C'!R7</f>
        <v>56.75675676</v>
      </c>
      <c r="I7" s="39">
        <f>'II SEM C'!U7</f>
        <v>92.10526316</v>
      </c>
      <c r="J7" s="39">
        <f>'II SEM C'!X7</f>
        <v>83.33333333</v>
      </c>
      <c r="K7" s="40">
        <f t="shared" ref="K7:K56" si="1">(D7+E7+F7+G7+H7+I7+J7)/7</f>
        <v>73.07108999</v>
      </c>
    </row>
    <row r="8" ht="12.75" customHeight="1">
      <c r="A8" s="23">
        <v>2.0</v>
      </c>
      <c r="B8" s="24" t="s">
        <v>22</v>
      </c>
      <c r="C8" s="25" t="s">
        <v>23</v>
      </c>
      <c r="D8" s="39">
        <f>'II SEM C'!F8</f>
        <v>28.57142857</v>
      </c>
      <c r="E8" s="39">
        <f>'II SEM C'!I8</f>
        <v>73.68421053</v>
      </c>
      <c r="F8" s="39">
        <f>'II SEM C'!L8</f>
        <v>80.76923077</v>
      </c>
      <c r="G8" s="39">
        <f>'II SEM C'!O8</f>
        <v>72.72727273</v>
      </c>
      <c r="H8" s="39">
        <f>'II SEM C'!R8</f>
        <v>56.75675676</v>
      </c>
      <c r="I8" s="39">
        <f>'II SEM C'!U8</f>
        <v>76.31578947</v>
      </c>
      <c r="J8" s="39">
        <f>'II SEM C'!X8</f>
        <v>50</v>
      </c>
      <c r="K8" s="39">
        <f t="shared" si="1"/>
        <v>62.68924126</v>
      </c>
    </row>
    <row r="9" ht="12.75" customHeight="1">
      <c r="A9" s="23">
        <v>3.0</v>
      </c>
      <c r="B9" s="24" t="s">
        <v>24</v>
      </c>
      <c r="C9" s="25" t="s">
        <v>25</v>
      </c>
      <c r="D9" s="39">
        <f>'II SEM C'!F9</f>
        <v>67.85714286</v>
      </c>
      <c r="E9" s="39">
        <f>'II SEM C'!I9</f>
        <v>89.47368421</v>
      </c>
      <c r="F9" s="39">
        <f>'II SEM C'!L9</f>
        <v>100</v>
      </c>
      <c r="G9" s="39">
        <f>'II SEM C'!O9</f>
        <v>96.96969697</v>
      </c>
      <c r="H9" s="39">
        <f>'II SEM C'!R9</f>
        <v>91.89189189</v>
      </c>
      <c r="I9" s="39">
        <f>'II SEM C'!U9</f>
        <v>94.73684211</v>
      </c>
      <c r="J9" s="39">
        <f>'II SEM C'!X9</f>
        <v>88.88888889</v>
      </c>
      <c r="K9" s="39">
        <f t="shared" si="1"/>
        <v>89.97402099</v>
      </c>
    </row>
    <row r="10" ht="12.75" customHeight="1">
      <c r="A10" s="23">
        <v>4.0</v>
      </c>
      <c r="B10" s="24" t="s">
        <v>26</v>
      </c>
      <c r="C10" s="25" t="s">
        <v>27</v>
      </c>
      <c r="D10" s="39">
        <f>'II SEM C'!F10</f>
        <v>89.28571429</v>
      </c>
      <c r="E10" s="39">
        <f>'II SEM C'!I10</f>
        <v>94.73684211</v>
      </c>
      <c r="F10" s="39">
        <f>'II SEM C'!L10</f>
        <v>100</v>
      </c>
      <c r="G10" s="39">
        <f>'II SEM C'!O10</f>
        <v>96.96969697</v>
      </c>
      <c r="H10" s="39">
        <f>'II SEM C'!R10</f>
        <v>94.59459459</v>
      </c>
      <c r="I10" s="39">
        <f>'II SEM C'!U10</f>
        <v>97.36842105</v>
      </c>
      <c r="J10" s="39">
        <f>'II SEM C'!X10</f>
        <v>83.33333333</v>
      </c>
      <c r="K10" s="39">
        <f t="shared" si="1"/>
        <v>93.75551462</v>
      </c>
    </row>
    <row r="11" ht="12.75" customHeight="1">
      <c r="A11" s="23">
        <v>5.0</v>
      </c>
      <c r="B11" s="24" t="s">
        <v>28</v>
      </c>
      <c r="C11" s="25" t="s">
        <v>29</v>
      </c>
      <c r="D11" s="39">
        <f>'II SEM C'!F11</f>
        <v>64.28571429</v>
      </c>
      <c r="E11" s="39">
        <f>'II SEM C'!I11</f>
        <v>52.63157895</v>
      </c>
      <c r="F11" s="39">
        <f>'II SEM C'!L11</f>
        <v>73.07692308</v>
      </c>
      <c r="G11" s="39">
        <f>'II SEM C'!O11</f>
        <v>63.63636364</v>
      </c>
      <c r="H11" s="39">
        <f>'II SEM C'!R11</f>
        <v>64.86486486</v>
      </c>
      <c r="I11" s="39">
        <f>'II SEM C'!U11</f>
        <v>60.52631579</v>
      </c>
      <c r="J11" s="39">
        <f>'II SEM C'!X11</f>
        <v>88.88888889</v>
      </c>
      <c r="K11" s="39">
        <f t="shared" si="1"/>
        <v>66.8443785</v>
      </c>
    </row>
    <row r="12" ht="12.75" customHeight="1">
      <c r="A12" s="23">
        <v>6.0</v>
      </c>
      <c r="B12" s="24" t="s">
        <v>30</v>
      </c>
      <c r="C12" s="25" t="s">
        <v>31</v>
      </c>
      <c r="D12" s="39">
        <f>'II SEM C'!F12</f>
        <v>85.71428571</v>
      </c>
      <c r="E12" s="39">
        <f>'II SEM C'!I12</f>
        <v>94.73684211</v>
      </c>
      <c r="F12" s="39">
        <f>'II SEM C'!L12</f>
        <v>96.15384615</v>
      </c>
      <c r="G12" s="39">
        <f>'II SEM C'!O12</f>
        <v>96.96969697</v>
      </c>
      <c r="H12" s="39">
        <f>'II SEM C'!R12</f>
        <v>91.89189189</v>
      </c>
      <c r="I12" s="39">
        <f>'II SEM C'!U12</f>
        <v>97.36842105</v>
      </c>
      <c r="J12" s="39">
        <f>'II SEM C'!X12</f>
        <v>94.44444444</v>
      </c>
      <c r="K12" s="39">
        <f t="shared" si="1"/>
        <v>93.89706119</v>
      </c>
    </row>
    <row r="13" ht="12.75" customHeight="1">
      <c r="A13" s="23">
        <v>7.0</v>
      </c>
      <c r="B13" s="24" t="s">
        <v>32</v>
      </c>
      <c r="C13" s="25" t="s">
        <v>33</v>
      </c>
      <c r="D13" s="39">
        <f>'II SEM C'!F13</f>
        <v>53.57142857</v>
      </c>
      <c r="E13" s="39">
        <f>'II SEM C'!I13</f>
        <v>100</v>
      </c>
      <c r="F13" s="39">
        <f>'II SEM C'!L13</f>
        <v>96.15384615</v>
      </c>
      <c r="G13" s="39">
        <f>'II SEM C'!O13</f>
        <v>100</v>
      </c>
      <c r="H13" s="39">
        <f>'II SEM C'!R13</f>
        <v>89.18918919</v>
      </c>
      <c r="I13" s="39">
        <f>'II SEM C'!U13</f>
        <v>100</v>
      </c>
      <c r="J13" s="39">
        <f>'II SEM C'!X13</f>
        <v>100</v>
      </c>
      <c r="K13" s="39">
        <f t="shared" si="1"/>
        <v>91.27349484</v>
      </c>
    </row>
    <row r="14" ht="12.75" customHeight="1">
      <c r="A14" s="23">
        <v>8.0</v>
      </c>
      <c r="B14" s="24" t="s">
        <v>34</v>
      </c>
      <c r="C14" s="25" t="s">
        <v>35</v>
      </c>
      <c r="D14" s="39">
        <f>'II SEM C'!F14</f>
        <v>75</v>
      </c>
      <c r="E14" s="39">
        <f>'II SEM C'!I14</f>
        <v>84.21052632</v>
      </c>
      <c r="F14" s="39">
        <f>'II SEM C'!L14</f>
        <v>88.46153846</v>
      </c>
      <c r="G14" s="39">
        <f>'II SEM C'!O14</f>
        <v>84.84848485</v>
      </c>
      <c r="H14" s="39">
        <f>'II SEM C'!R14</f>
        <v>67.56756757</v>
      </c>
      <c r="I14" s="39">
        <f>'II SEM C'!U14</f>
        <v>81.57894737</v>
      </c>
      <c r="J14" s="39">
        <f>'II SEM C'!X14</f>
        <v>88.88888889</v>
      </c>
      <c r="K14" s="39">
        <f t="shared" si="1"/>
        <v>81.50799335</v>
      </c>
    </row>
    <row r="15" ht="12.75" customHeight="1">
      <c r="A15" s="23">
        <v>9.0</v>
      </c>
      <c r="B15" s="24" t="s">
        <v>36</v>
      </c>
      <c r="C15" s="25" t="s">
        <v>37</v>
      </c>
      <c r="D15" s="39">
        <f>'II SEM C'!F15</f>
        <v>57.14285714</v>
      </c>
      <c r="E15" s="39">
        <f>'II SEM C'!I15</f>
        <v>47.36842105</v>
      </c>
      <c r="F15" s="39">
        <f>'II SEM C'!L15</f>
        <v>73.07692308</v>
      </c>
      <c r="G15" s="39">
        <f>'II SEM C'!O15</f>
        <v>72.72727273</v>
      </c>
      <c r="H15" s="39">
        <f>'II SEM C'!R15</f>
        <v>64.86486486</v>
      </c>
      <c r="I15" s="39">
        <f>'II SEM C'!U15</f>
        <v>76.31578947</v>
      </c>
      <c r="J15" s="39">
        <f>'II SEM C'!X15</f>
        <v>77.77777778</v>
      </c>
      <c r="K15" s="39">
        <f t="shared" si="1"/>
        <v>67.03912945</v>
      </c>
    </row>
    <row r="16" ht="12.75" customHeight="1">
      <c r="A16" s="23">
        <v>10.0</v>
      </c>
      <c r="B16" s="24" t="s">
        <v>38</v>
      </c>
      <c r="C16" s="25" t="s">
        <v>39</v>
      </c>
      <c r="D16" s="39">
        <f>'II SEM C'!F16</f>
        <v>78.57142857</v>
      </c>
      <c r="E16" s="39">
        <f>'II SEM C'!I16</f>
        <v>89.47368421</v>
      </c>
      <c r="F16" s="39">
        <f>'II SEM C'!L16</f>
        <v>88.46153846</v>
      </c>
      <c r="G16" s="39">
        <f>'II SEM C'!O16</f>
        <v>66.66666667</v>
      </c>
      <c r="H16" s="39">
        <f>'II SEM C'!R16</f>
        <v>83.78378378</v>
      </c>
      <c r="I16" s="39">
        <f>'II SEM C'!U16</f>
        <v>94.73684211</v>
      </c>
      <c r="J16" s="39">
        <f>'II SEM C'!X16</f>
        <v>72.22222222</v>
      </c>
      <c r="K16" s="39">
        <f t="shared" si="1"/>
        <v>81.98802372</v>
      </c>
    </row>
    <row r="17" ht="12.75" customHeight="1">
      <c r="A17" s="23">
        <v>11.0</v>
      </c>
      <c r="B17" s="24" t="s">
        <v>40</v>
      </c>
      <c r="C17" s="25" t="s">
        <v>41</v>
      </c>
      <c r="D17" s="39">
        <f>'II SEM C'!F17</f>
        <v>85.71428571</v>
      </c>
      <c r="E17" s="39">
        <f>'II SEM C'!I17</f>
        <v>100</v>
      </c>
      <c r="F17" s="39">
        <f>'II SEM C'!L17</f>
        <v>88.46153846</v>
      </c>
      <c r="G17" s="39">
        <f>'II SEM C'!O17</f>
        <v>93.93939394</v>
      </c>
      <c r="H17" s="39">
        <f>'II SEM C'!R17</f>
        <v>91.89189189</v>
      </c>
      <c r="I17" s="39">
        <f>'II SEM C'!U17</f>
        <v>97.36842105</v>
      </c>
      <c r="J17" s="39">
        <f>'II SEM C'!X17</f>
        <v>83.33333333</v>
      </c>
      <c r="K17" s="39">
        <f t="shared" si="1"/>
        <v>91.52983777</v>
      </c>
    </row>
    <row r="18" ht="12.75" customHeight="1">
      <c r="A18" s="23">
        <v>12.0</v>
      </c>
      <c r="B18" s="24" t="s">
        <v>42</v>
      </c>
      <c r="C18" s="25" t="s">
        <v>43</v>
      </c>
      <c r="D18" s="39">
        <f>'II SEM C'!F18</f>
        <v>78.57142857</v>
      </c>
      <c r="E18" s="39">
        <f>'II SEM C'!I18</f>
        <v>73.68421053</v>
      </c>
      <c r="F18" s="39">
        <f>'II SEM C'!L18</f>
        <v>84.61538462</v>
      </c>
      <c r="G18" s="39">
        <f>'II SEM C'!O18</f>
        <v>87.87878788</v>
      </c>
      <c r="H18" s="39">
        <f>'II SEM C'!R18</f>
        <v>83.78378378</v>
      </c>
      <c r="I18" s="39">
        <f>'II SEM C'!U18</f>
        <v>94.73684211</v>
      </c>
      <c r="J18" s="39">
        <f>'II SEM C'!X18</f>
        <v>72.22222222</v>
      </c>
      <c r="K18" s="39">
        <f t="shared" si="1"/>
        <v>82.2132371</v>
      </c>
    </row>
    <row r="19" ht="12.75" customHeight="1">
      <c r="A19" s="23">
        <v>13.0</v>
      </c>
      <c r="B19" s="24" t="s">
        <v>44</v>
      </c>
      <c r="C19" s="25" t="s">
        <v>45</v>
      </c>
      <c r="D19" s="39">
        <f>'II SEM C'!F19</f>
        <v>78.57142857</v>
      </c>
      <c r="E19" s="39">
        <f>'II SEM C'!I19</f>
        <v>68.42105263</v>
      </c>
      <c r="F19" s="39">
        <f>'II SEM C'!L19</f>
        <v>84.61538462</v>
      </c>
      <c r="G19" s="39">
        <f>'II SEM C'!O19</f>
        <v>69.6969697</v>
      </c>
      <c r="H19" s="39">
        <f>'II SEM C'!R19</f>
        <v>78.37837838</v>
      </c>
      <c r="I19" s="39">
        <f>'II SEM C'!U19</f>
        <v>71.05263158</v>
      </c>
      <c r="J19" s="39">
        <f>'II SEM C'!X19</f>
        <v>77.77777778</v>
      </c>
      <c r="K19" s="39">
        <f t="shared" si="1"/>
        <v>75.50194618</v>
      </c>
    </row>
    <row r="20" ht="12.75" customHeight="1">
      <c r="A20" s="23">
        <v>14.0</v>
      </c>
      <c r="B20" s="24" t="s">
        <v>46</v>
      </c>
      <c r="C20" s="25" t="s">
        <v>47</v>
      </c>
      <c r="D20" s="39">
        <f>'II SEM C'!F20</f>
        <v>85.71428571</v>
      </c>
      <c r="E20" s="39">
        <f>'II SEM C'!I20</f>
        <v>100</v>
      </c>
      <c r="F20" s="39">
        <f>'II SEM C'!L20</f>
        <v>96.15384615</v>
      </c>
      <c r="G20" s="39">
        <f>'II SEM C'!O20</f>
        <v>100</v>
      </c>
      <c r="H20" s="39">
        <f>'II SEM C'!R20</f>
        <v>100</v>
      </c>
      <c r="I20" s="39">
        <f>'II SEM C'!U20</f>
        <v>94.73684211</v>
      </c>
      <c r="J20" s="39">
        <f>'II SEM C'!X20</f>
        <v>88.88888889</v>
      </c>
      <c r="K20" s="39">
        <f t="shared" si="1"/>
        <v>95.07055184</v>
      </c>
    </row>
    <row r="21" ht="12.75" customHeight="1">
      <c r="A21" s="23">
        <v>15.0</v>
      </c>
      <c r="B21" s="24" t="s">
        <v>48</v>
      </c>
      <c r="C21" s="25" t="s">
        <v>49</v>
      </c>
      <c r="D21" s="39">
        <f>'II SEM C'!F21</f>
        <v>46.42857143</v>
      </c>
      <c r="E21" s="39">
        <f>'II SEM C'!I21</f>
        <v>57.89473684</v>
      </c>
      <c r="F21" s="39">
        <f>'II SEM C'!L21</f>
        <v>73.07692308</v>
      </c>
      <c r="G21" s="39">
        <f>'II SEM C'!O21</f>
        <v>66.66666667</v>
      </c>
      <c r="H21" s="39">
        <f>'II SEM C'!R21</f>
        <v>51.35135135</v>
      </c>
      <c r="I21" s="39">
        <f>'II SEM C'!U21</f>
        <v>65.78947368</v>
      </c>
      <c r="J21" s="39">
        <f>'II SEM C'!X21</f>
        <v>61.11111111</v>
      </c>
      <c r="K21" s="39">
        <f t="shared" si="1"/>
        <v>60.33126202</v>
      </c>
    </row>
    <row r="22" ht="12.75" customHeight="1">
      <c r="A22" s="23">
        <v>16.0</v>
      </c>
      <c r="B22" s="24" t="s">
        <v>50</v>
      </c>
      <c r="C22" s="25" t="s">
        <v>51</v>
      </c>
      <c r="D22" s="39">
        <f>'II SEM C'!F22</f>
        <v>42.85714286</v>
      </c>
      <c r="E22" s="39">
        <f>'II SEM C'!I22</f>
        <v>47.36842105</v>
      </c>
      <c r="F22" s="39">
        <f>'II SEM C'!L22</f>
        <v>53.84615385</v>
      </c>
      <c r="G22" s="39">
        <f>'II SEM C'!O22</f>
        <v>39.39393939</v>
      </c>
      <c r="H22" s="39">
        <f>'II SEM C'!R22</f>
        <v>45.94594595</v>
      </c>
      <c r="I22" s="39">
        <f>'II SEM C'!U22</f>
        <v>73.68421053</v>
      </c>
      <c r="J22" s="39">
        <f>'II SEM C'!X22</f>
        <v>50</v>
      </c>
      <c r="K22" s="39">
        <f t="shared" si="1"/>
        <v>50.44225909</v>
      </c>
    </row>
    <row r="23" ht="12.75" customHeight="1">
      <c r="A23" s="23">
        <v>17.0</v>
      </c>
      <c r="B23" s="24" t="s">
        <v>52</v>
      </c>
      <c r="C23" s="25" t="s">
        <v>53</v>
      </c>
      <c r="D23" s="39">
        <f>'II SEM C'!F23</f>
        <v>75</v>
      </c>
      <c r="E23" s="39">
        <f>'II SEM C'!I23</f>
        <v>89.47368421</v>
      </c>
      <c r="F23" s="39">
        <f>'II SEM C'!L23</f>
        <v>88.46153846</v>
      </c>
      <c r="G23" s="39">
        <f>'II SEM C'!O23</f>
        <v>93.93939394</v>
      </c>
      <c r="H23" s="39">
        <f>'II SEM C'!R23</f>
        <v>81.08108108</v>
      </c>
      <c r="I23" s="39">
        <f>'II SEM C'!U23</f>
        <v>73.68421053</v>
      </c>
      <c r="J23" s="39">
        <f>'II SEM C'!X23</f>
        <v>83.33333333</v>
      </c>
      <c r="K23" s="39">
        <f t="shared" si="1"/>
        <v>83.56760594</v>
      </c>
    </row>
    <row r="24" ht="12.75" customHeight="1">
      <c r="A24" s="23">
        <v>18.0</v>
      </c>
      <c r="B24" s="24" t="s">
        <v>54</v>
      </c>
      <c r="C24" s="25" t="s">
        <v>55</v>
      </c>
      <c r="D24" s="39">
        <f>'II SEM C'!F24</f>
        <v>82.14285714</v>
      </c>
      <c r="E24" s="39">
        <f>'II SEM C'!I24</f>
        <v>89.47368421</v>
      </c>
      <c r="F24" s="39">
        <f>'II SEM C'!L24</f>
        <v>100</v>
      </c>
      <c r="G24" s="39">
        <f>'II SEM C'!O24</f>
        <v>81.81818182</v>
      </c>
      <c r="H24" s="39">
        <f>'II SEM C'!R24</f>
        <v>86.48648649</v>
      </c>
      <c r="I24" s="39">
        <f>'II SEM C'!U24</f>
        <v>94.73684211</v>
      </c>
      <c r="J24" s="39">
        <f>'II SEM C'!X24</f>
        <v>88.88888889</v>
      </c>
      <c r="K24" s="39">
        <f t="shared" si="1"/>
        <v>89.07813438</v>
      </c>
    </row>
    <row r="25" ht="12.75" customHeight="1">
      <c r="A25" s="23">
        <v>19.0</v>
      </c>
      <c r="B25" s="24" t="s">
        <v>56</v>
      </c>
      <c r="C25" s="25" t="s">
        <v>57</v>
      </c>
      <c r="D25" s="39">
        <f>'II SEM C'!F25</f>
        <v>82.14285714</v>
      </c>
      <c r="E25" s="39">
        <f>'II SEM C'!I25</f>
        <v>100</v>
      </c>
      <c r="F25" s="39">
        <f>'II SEM C'!L25</f>
        <v>92.30769231</v>
      </c>
      <c r="G25" s="39">
        <f>'II SEM C'!O25</f>
        <v>84.84848485</v>
      </c>
      <c r="H25" s="39">
        <f>'II SEM C'!R25</f>
        <v>72.97297297</v>
      </c>
      <c r="I25" s="39">
        <f>'II SEM C'!U25</f>
        <v>89.47368421</v>
      </c>
      <c r="J25" s="39">
        <f>'II SEM C'!X25</f>
        <v>94.44444444</v>
      </c>
      <c r="K25" s="39">
        <f t="shared" si="1"/>
        <v>88.02716228</v>
      </c>
    </row>
    <row r="26" ht="12.75" customHeight="1">
      <c r="A26" s="23">
        <v>20.0</v>
      </c>
      <c r="B26" s="24" t="s">
        <v>58</v>
      </c>
      <c r="C26" s="25" t="s">
        <v>59</v>
      </c>
      <c r="D26" s="39">
        <f>'II SEM C'!F26</f>
        <v>71.42857143</v>
      </c>
      <c r="E26" s="39">
        <f>'II SEM C'!I26</f>
        <v>84.21052632</v>
      </c>
      <c r="F26" s="39">
        <f>'II SEM C'!L26</f>
        <v>53.84615385</v>
      </c>
      <c r="G26" s="39">
        <f>'II SEM C'!O26</f>
        <v>75.75757576</v>
      </c>
      <c r="H26" s="39">
        <f>'II SEM C'!R26</f>
        <v>70.27027027</v>
      </c>
      <c r="I26" s="39">
        <f>'II SEM C'!U26</f>
        <v>76.31578947</v>
      </c>
      <c r="J26" s="39">
        <f>'II SEM C'!X26</f>
        <v>61.11111111</v>
      </c>
      <c r="K26" s="39">
        <f t="shared" si="1"/>
        <v>70.41999974</v>
      </c>
    </row>
    <row r="27" ht="12.75" customHeight="1">
      <c r="A27" s="23">
        <v>21.0</v>
      </c>
      <c r="B27" s="24" t="s">
        <v>60</v>
      </c>
      <c r="C27" s="25" t="s">
        <v>61</v>
      </c>
      <c r="D27" s="39">
        <f>'II SEM C'!F27</f>
        <v>78.57142857</v>
      </c>
      <c r="E27" s="39">
        <f>'II SEM C'!I27</f>
        <v>100</v>
      </c>
      <c r="F27" s="39">
        <f>'II SEM C'!L27</f>
        <v>96.15384615</v>
      </c>
      <c r="G27" s="39">
        <f>'II SEM C'!O27</f>
        <v>81.81818182</v>
      </c>
      <c r="H27" s="39">
        <f>'II SEM C'!R27</f>
        <v>78.37837838</v>
      </c>
      <c r="I27" s="39">
        <f>'II SEM C'!U27</f>
        <v>92.10526316</v>
      </c>
      <c r="J27" s="39">
        <f>'II SEM C'!X27</f>
        <v>77.77777778</v>
      </c>
      <c r="K27" s="39">
        <f t="shared" si="1"/>
        <v>86.40069655</v>
      </c>
    </row>
    <row r="28" ht="12.75" customHeight="1">
      <c r="A28" s="23">
        <v>22.0</v>
      </c>
      <c r="B28" s="24" t="s">
        <v>62</v>
      </c>
      <c r="C28" s="25" t="s">
        <v>63</v>
      </c>
      <c r="D28" s="39">
        <f>'II SEM C'!F28</f>
        <v>82.14285714</v>
      </c>
      <c r="E28" s="39">
        <f>'II SEM C'!I28</f>
        <v>78.94736842</v>
      </c>
      <c r="F28" s="39">
        <f>'II SEM C'!L28</f>
        <v>76.92307692</v>
      </c>
      <c r="G28" s="39">
        <f>'II SEM C'!O28</f>
        <v>69.6969697</v>
      </c>
      <c r="H28" s="39">
        <f>'II SEM C'!R28</f>
        <v>78.37837838</v>
      </c>
      <c r="I28" s="39">
        <f>'II SEM C'!U28</f>
        <v>86.84210526</v>
      </c>
      <c r="J28" s="39">
        <f>'II SEM C'!X28</f>
        <v>83.33333333</v>
      </c>
      <c r="K28" s="39">
        <f t="shared" si="1"/>
        <v>79.46629845</v>
      </c>
    </row>
    <row r="29" ht="12.75" customHeight="1">
      <c r="A29" s="23">
        <v>23.0</v>
      </c>
      <c r="B29" s="24" t="s">
        <v>64</v>
      </c>
      <c r="C29" s="25" t="s">
        <v>65</v>
      </c>
      <c r="D29" s="39">
        <f>'II SEM C'!F29</f>
        <v>60.71428571</v>
      </c>
      <c r="E29" s="39">
        <f>'II SEM C'!I29</f>
        <v>68.42105263</v>
      </c>
      <c r="F29" s="39">
        <f>'II SEM C'!L29</f>
        <v>61.53846154</v>
      </c>
      <c r="G29" s="39">
        <f>'II SEM C'!O29</f>
        <v>63.63636364</v>
      </c>
      <c r="H29" s="39">
        <f>'II SEM C'!R29</f>
        <v>45.94594595</v>
      </c>
      <c r="I29" s="39">
        <f>'II SEM C'!U29</f>
        <v>73.68421053</v>
      </c>
      <c r="J29" s="39">
        <f>'II SEM C'!X29</f>
        <v>72.22222222</v>
      </c>
      <c r="K29" s="39">
        <f t="shared" si="1"/>
        <v>63.73750603</v>
      </c>
    </row>
    <row r="30" ht="12.75" customHeight="1">
      <c r="A30" s="23">
        <v>24.0</v>
      </c>
      <c r="B30" s="24" t="s">
        <v>66</v>
      </c>
      <c r="C30" s="25" t="s">
        <v>67</v>
      </c>
      <c r="D30" s="39">
        <f>'II SEM C'!F30</f>
        <v>67.85714286</v>
      </c>
      <c r="E30" s="39">
        <f>'II SEM C'!I30</f>
        <v>73.68421053</v>
      </c>
      <c r="F30" s="39">
        <f>'II SEM C'!L30</f>
        <v>73.07692308</v>
      </c>
      <c r="G30" s="39">
        <f>'II SEM C'!O30</f>
        <v>78.78787879</v>
      </c>
      <c r="H30" s="39">
        <f>'II SEM C'!R30</f>
        <v>64.86486486</v>
      </c>
      <c r="I30" s="39">
        <f>'II SEM C'!U30</f>
        <v>76.31578947</v>
      </c>
      <c r="J30" s="39">
        <f>'II SEM C'!X30</f>
        <v>77.77777778</v>
      </c>
      <c r="K30" s="39">
        <f t="shared" si="1"/>
        <v>73.19494105</v>
      </c>
    </row>
    <row r="31" ht="12.75" customHeight="1">
      <c r="A31" s="23">
        <v>25.0</v>
      </c>
      <c r="B31" s="24" t="s">
        <v>68</v>
      </c>
      <c r="C31" s="25" t="s">
        <v>69</v>
      </c>
      <c r="D31" s="39">
        <f>'II SEM C'!F31</f>
        <v>53.57142857</v>
      </c>
      <c r="E31" s="39">
        <f>'II SEM C'!I31</f>
        <v>68.42105263</v>
      </c>
      <c r="F31" s="39">
        <f>'II SEM C'!L31</f>
        <v>84.61538462</v>
      </c>
      <c r="G31" s="39">
        <f>'II SEM C'!O31</f>
        <v>81.81818182</v>
      </c>
      <c r="H31" s="39">
        <f>'II SEM C'!R31</f>
        <v>48.64864865</v>
      </c>
      <c r="I31" s="39">
        <f>'II SEM C'!U31</f>
        <v>92.10526316</v>
      </c>
      <c r="J31" s="39">
        <f>'II SEM C'!X31</f>
        <v>83.33333333</v>
      </c>
      <c r="K31" s="39">
        <f t="shared" si="1"/>
        <v>73.21618468</v>
      </c>
    </row>
    <row r="32" ht="12.75" customHeight="1">
      <c r="A32" s="23">
        <v>26.0</v>
      </c>
      <c r="B32" s="24" t="s">
        <v>70</v>
      </c>
      <c r="C32" s="25" t="s">
        <v>71</v>
      </c>
      <c r="D32" s="39">
        <f>'II SEM C'!F32</f>
        <v>75</v>
      </c>
      <c r="E32" s="39">
        <f>'II SEM C'!I32</f>
        <v>94.73684211</v>
      </c>
      <c r="F32" s="39">
        <f>'II SEM C'!L32</f>
        <v>88.46153846</v>
      </c>
      <c r="G32" s="39">
        <f>'II SEM C'!O32</f>
        <v>78.78787879</v>
      </c>
      <c r="H32" s="39">
        <f>'II SEM C'!R32</f>
        <v>72.97297297</v>
      </c>
      <c r="I32" s="39">
        <f>'II SEM C'!U32</f>
        <v>78.94736842</v>
      </c>
      <c r="J32" s="39">
        <f>'II SEM C'!X32</f>
        <v>77.77777778</v>
      </c>
      <c r="K32" s="39">
        <f t="shared" si="1"/>
        <v>80.95491122</v>
      </c>
    </row>
    <row r="33" ht="12.75" customHeight="1">
      <c r="A33" s="23">
        <v>27.0</v>
      </c>
      <c r="B33" s="24" t="s">
        <v>72</v>
      </c>
      <c r="C33" s="25" t="s">
        <v>73</v>
      </c>
      <c r="D33" s="39">
        <f>'II SEM C'!F33</f>
        <v>75</v>
      </c>
      <c r="E33" s="39">
        <f>'II SEM C'!I33</f>
        <v>78.94736842</v>
      </c>
      <c r="F33" s="39">
        <f>'II SEM C'!L33</f>
        <v>92.30769231</v>
      </c>
      <c r="G33" s="39">
        <f>'II SEM C'!O33</f>
        <v>93.93939394</v>
      </c>
      <c r="H33" s="39">
        <f>'II SEM C'!R33</f>
        <v>89.18918919</v>
      </c>
      <c r="I33" s="39">
        <f>'II SEM C'!U33</f>
        <v>97.36842105</v>
      </c>
      <c r="J33" s="39">
        <f>'II SEM C'!X33</f>
        <v>77.77777778</v>
      </c>
      <c r="K33" s="39">
        <f t="shared" si="1"/>
        <v>86.3614061</v>
      </c>
    </row>
    <row r="34" ht="12.75" customHeight="1">
      <c r="A34" s="23">
        <v>28.0</v>
      </c>
      <c r="B34" s="24" t="s">
        <v>74</v>
      </c>
      <c r="C34" s="25" t="s">
        <v>75</v>
      </c>
      <c r="D34" s="39">
        <f>'II SEM C'!F34</f>
        <v>78.57142857</v>
      </c>
      <c r="E34" s="39">
        <f>'II SEM C'!I34</f>
        <v>94.73684211</v>
      </c>
      <c r="F34" s="39">
        <f>'II SEM C'!L34</f>
        <v>100</v>
      </c>
      <c r="G34" s="39">
        <f>'II SEM C'!O34</f>
        <v>96.96969697</v>
      </c>
      <c r="H34" s="39">
        <f>'II SEM C'!R34</f>
        <v>86.48648649</v>
      </c>
      <c r="I34" s="39">
        <f>'II SEM C'!U34</f>
        <v>100</v>
      </c>
      <c r="J34" s="39">
        <f>'II SEM C'!X34</f>
        <v>83.33333333</v>
      </c>
      <c r="K34" s="39">
        <f t="shared" si="1"/>
        <v>91.44254107</v>
      </c>
    </row>
    <row r="35" ht="12.75" customHeight="1">
      <c r="A35" s="23">
        <v>29.0</v>
      </c>
      <c r="B35" s="24" t="s">
        <v>76</v>
      </c>
      <c r="C35" s="25" t="s">
        <v>77</v>
      </c>
      <c r="D35" s="39">
        <f>'II SEM C'!F35</f>
        <v>57.14285714</v>
      </c>
      <c r="E35" s="39">
        <f>'II SEM C'!I35</f>
        <v>78.94736842</v>
      </c>
      <c r="F35" s="39">
        <f>'II SEM C'!L35</f>
        <v>80.76923077</v>
      </c>
      <c r="G35" s="39">
        <f>'II SEM C'!O35</f>
        <v>78.78787879</v>
      </c>
      <c r="H35" s="39">
        <f>'II SEM C'!R35</f>
        <v>70.27027027</v>
      </c>
      <c r="I35" s="39">
        <f>'II SEM C'!U35</f>
        <v>57.89473684</v>
      </c>
      <c r="J35" s="39">
        <f>'II SEM C'!X35</f>
        <v>83.33333333</v>
      </c>
      <c r="K35" s="39">
        <f t="shared" si="1"/>
        <v>72.44938222</v>
      </c>
    </row>
    <row r="36" ht="12.75" customHeight="1">
      <c r="A36" s="23">
        <v>30.0</v>
      </c>
      <c r="B36" s="24" t="s">
        <v>78</v>
      </c>
      <c r="C36" s="25" t="s">
        <v>79</v>
      </c>
      <c r="D36" s="39">
        <f>'II SEM C'!F36</f>
        <v>67.85714286</v>
      </c>
      <c r="E36" s="39">
        <f>'II SEM C'!I36</f>
        <v>84.21052632</v>
      </c>
      <c r="F36" s="39">
        <f>'II SEM C'!L36</f>
        <v>92.30769231</v>
      </c>
      <c r="G36" s="39">
        <f>'II SEM C'!O36</f>
        <v>87.87878788</v>
      </c>
      <c r="H36" s="39">
        <f>'II SEM C'!R36</f>
        <v>83.78378378</v>
      </c>
      <c r="I36" s="39">
        <f>'II SEM C'!U36</f>
        <v>84.21052632</v>
      </c>
      <c r="J36" s="39">
        <f>'II SEM C'!X36</f>
        <v>94.44444444</v>
      </c>
      <c r="K36" s="39">
        <f t="shared" si="1"/>
        <v>84.95612913</v>
      </c>
    </row>
    <row r="37" ht="12.75" customHeight="1">
      <c r="A37" s="23">
        <v>31.0</v>
      </c>
      <c r="B37" s="24" t="s">
        <v>80</v>
      </c>
      <c r="C37" s="25" t="s">
        <v>81</v>
      </c>
      <c r="D37" s="39">
        <f>'II SEM C'!F37</f>
        <v>60.71428571</v>
      </c>
      <c r="E37" s="39">
        <f>'II SEM C'!I37</f>
        <v>89.47368421</v>
      </c>
      <c r="F37" s="39">
        <f>'II SEM C'!L37</f>
        <v>92.30769231</v>
      </c>
      <c r="G37" s="39">
        <f>'II SEM C'!O37</f>
        <v>87.87878788</v>
      </c>
      <c r="H37" s="39">
        <f>'II SEM C'!R37</f>
        <v>81.08108108</v>
      </c>
      <c r="I37" s="39">
        <f>'II SEM C'!U37</f>
        <v>97.36842105</v>
      </c>
      <c r="J37" s="39">
        <f>'II SEM C'!X37</f>
        <v>88.88888889</v>
      </c>
      <c r="K37" s="39">
        <f t="shared" si="1"/>
        <v>85.38754873</v>
      </c>
    </row>
    <row r="38" ht="12.75" customHeight="1">
      <c r="A38" s="23">
        <v>32.0</v>
      </c>
      <c r="B38" s="24" t="s">
        <v>82</v>
      </c>
      <c r="C38" s="25" t="s">
        <v>83</v>
      </c>
      <c r="D38" s="39">
        <f>'II SEM C'!F38</f>
        <v>71.42857143</v>
      </c>
      <c r="E38" s="39">
        <f>'II SEM C'!I38</f>
        <v>84.21052632</v>
      </c>
      <c r="F38" s="39">
        <f>'II SEM C'!L38</f>
        <v>88.46153846</v>
      </c>
      <c r="G38" s="39">
        <f>'II SEM C'!O38</f>
        <v>84.84848485</v>
      </c>
      <c r="H38" s="39">
        <f>'II SEM C'!R38</f>
        <v>83.78378378</v>
      </c>
      <c r="I38" s="39">
        <f>'II SEM C'!U38</f>
        <v>86.84210526</v>
      </c>
      <c r="J38" s="39">
        <f>'II SEM C'!X38</f>
        <v>88.88888889</v>
      </c>
      <c r="K38" s="39">
        <f t="shared" si="1"/>
        <v>84.06627128</v>
      </c>
    </row>
    <row r="39" ht="12.75" customHeight="1">
      <c r="A39" s="23">
        <v>33.0</v>
      </c>
      <c r="B39" s="24" t="s">
        <v>84</v>
      </c>
      <c r="C39" s="25" t="s">
        <v>85</v>
      </c>
      <c r="D39" s="39">
        <f>'II SEM C'!F39</f>
        <v>82.14285714</v>
      </c>
      <c r="E39" s="39">
        <f>'II SEM C'!I39</f>
        <v>78.94736842</v>
      </c>
      <c r="F39" s="39">
        <f>'II SEM C'!L39</f>
        <v>69.23076923</v>
      </c>
      <c r="G39" s="39">
        <f>'II SEM C'!O39</f>
        <v>81.81818182</v>
      </c>
      <c r="H39" s="39">
        <f>'II SEM C'!R39</f>
        <v>78.37837838</v>
      </c>
      <c r="I39" s="39">
        <f>'II SEM C'!U39</f>
        <v>86.84210526</v>
      </c>
      <c r="J39" s="39">
        <f>'II SEM C'!X39</f>
        <v>100</v>
      </c>
      <c r="K39" s="39">
        <f t="shared" si="1"/>
        <v>82.47995146</v>
      </c>
    </row>
    <row r="40" ht="12.75" customHeight="1">
      <c r="A40" s="23">
        <v>34.0</v>
      </c>
      <c r="B40" s="24" t="s">
        <v>86</v>
      </c>
      <c r="C40" s="25" t="s">
        <v>87</v>
      </c>
      <c r="D40" s="39">
        <f>'II SEM C'!F40</f>
        <v>85.71428571</v>
      </c>
      <c r="E40" s="39">
        <f>'II SEM C'!I40</f>
        <v>78.94736842</v>
      </c>
      <c r="F40" s="39">
        <f>'II SEM C'!L40</f>
        <v>80.76923077</v>
      </c>
      <c r="G40" s="39">
        <f>'II SEM C'!O40</f>
        <v>84.84848485</v>
      </c>
      <c r="H40" s="39">
        <f>'II SEM C'!R40</f>
        <v>86.48648649</v>
      </c>
      <c r="I40" s="39">
        <f>'II SEM C'!U40</f>
        <v>86.84210526</v>
      </c>
      <c r="J40" s="39">
        <f>'II SEM C'!X40</f>
        <v>100</v>
      </c>
      <c r="K40" s="39">
        <f t="shared" si="1"/>
        <v>86.22970879</v>
      </c>
    </row>
    <row r="41" ht="12.75" customHeight="1">
      <c r="A41" s="23">
        <v>35.0</v>
      </c>
      <c r="B41" s="24" t="s">
        <v>88</v>
      </c>
      <c r="C41" s="25" t="s">
        <v>89</v>
      </c>
      <c r="D41" s="39">
        <f>'II SEM C'!F41</f>
        <v>67.85714286</v>
      </c>
      <c r="E41" s="39">
        <f>'II SEM C'!I41</f>
        <v>78.94736842</v>
      </c>
      <c r="F41" s="39">
        <f>'II SEM C'!L41</f>
        <v>96.15384615</v>
      </c>
      <c r="G41" s="39">
        <f>'II SEM C'!O41</f>
        <v>84.84848485</v>
      </c>
      <c r="H41" s="39">
        <f>'II SEM C'!R41</f>
        <v>86.48648649</v>
      </c>
      <c r="I41" s="39">
        <f>'II SEM C'!U41</f>
        <v>94.73684211</v>
      </c>
      <c r="J41" s="39">
        <f>'II SEM C'!X41</f>
        <v>83.33333333</v>
      </c>
      <c r="K41" s="39">
        <f t="shared" si="1"/>
        <v>84.62335774</v>
      </c>
    </row>
    <row r="42" ht="12.75" customHeight="1">
      <c r="A42" s="23">
        <v>36.0</v>
      </c>
      <c r="B42" s="24" t="s">
        <v>90</v>
      </c>
      <c r="C42" s="25" t="s">
        <v>91</v>
      </c>
      <c r="D42" s="39">
        <f>'II SEM C'!F42</f>
        <v>57.14285714</v>
      </c>
      <c r="E42" s="39">
        <f>'II SEM C'!I42</f>
        <v>78.94736842</v>
      </c>
      <c r="F42" s="39">
        <f>'II SEM C'!L42</f>
        <v>46.15384615</v>
      </c>
      <c r="G42" s="39">
        <f>'II SEM C'!O42</f>
        <v>36.36363636</v>
      </c>
      <c r="H42" s="39">
        <f>'II SEM C'!R42</f>
        <v>59.45945946</v>
      </c>
      <c r="I42" s="39">
        <f>'II SEM C'!U42</f>
        <v>76.31578947</v>
      </c>
      <c r="J42" s="39">
        <f>'II SEM C'!X42</f>
        <v>83.33333333</v>
      </c>
      <c r="K42" s="39">
        <f t="shared" si="1"/>
        <v>62.53089862</v>
      </c>
    </row>
    <row r="43" ht="12.75" customHeight="1">
      <c r="A43" s="23">
        <v>37.0</v>
      </c>
      <c r="B43" s="24" t="s">
        <v>92</v>
      </c>
      <c r="C43" s="25" t="s">
        <v>93</v>
      </c>
      <c r="D43" s="39">
        <f>'II SEM C'!F43</f>
        <v>57.14285714</v>
      </c>
      <c r="E43" s="39">
        <f>'II SEM C'!I43</f>
        <v>73.68421053</v>
      </c>
      <c r="F43" s="39">
        <f>'II SEM C'!L43</f>
        <v>96.15384615</v>
      </c>
      <c r="G43" s="39">
        <f>'II SEM C'!O43</f>
        <v>84.84848485</v>
      </c>
      <c r="H43" s="39">
        <f>'II SEM C'!R43</f>
        <v>75.67567568</v>
      </c>
      <c r="I43" s="39">
        <f>'II SEM C'!U43</f>
        <v>81.57894737</v>
      </c>
      <c r="J43" s="39">
        <f>'II SEM C'!X43</f>
        <v>94.44444444</v>
      </c>
      <c r="K43" s="39">
        <f t="shared" si="1"/>
        <v>80.50406659</v>
      </c>
    </row>
    <row r="44" ht="12.75" customHeight="1">
      <c r="A44" s="23">
        <v>38.0</v>
      </c>
      <c r="B44" s="24" t="s">
        <v>94</v>
      </c>
      <c r="C44" s="25" t="s">
        <v>126</v>
      </c>
      <c r="D44" s="39">
        <f>'II SEM C'!F44</f>
        <v>71.42857143</v>
      </c>
      <c r="E44" s="39">
        <f>'II SEM C'!I44</f>
        <v>73.68421053</v>
      </c>
      <c r="F44" s="39">
        <f>'II SEM C'!L44</f>
        <v>69.23076923</v>
      </c>
      <c r="G44" s="39">
        <f>'II SEM C'!O44</f>
        <v>72.72727273</v>
      </c>
      <c r="H44" s="39">
        <f>'II SEM C'!R44</f>
        <v>64.86486486</v>
      </c>
      <c r="I44" s="39">
        <f>'II SEM C'!U44</f>
        <v>84.21052632</v>
      </c>
      <c r="J44" s="39">
        <f>'II SEM C'!X44</f>
        <v>88.88888889</v>
      </c>
      <c r="K44" s="39">
        <f t="shared" si="1"/>
        <v>75.00501485</v>
      </c>
    </row>
    <row r="45" ht="12.75" customHeight="1">
      <c r="A45" s="23">
        <v>39.0</v>
      </c>
      <c r="B45" s="24" t="s">
        <v>96</v>
      </c>
      <c r="C45" s="25" t="s">
        <v>127</v>
      </c>
      <c r="D45" s="39">
        <f>'II SEM C'!F45</f>
        <v>67.85714286</v>
      </c>
      <c r="E45" s="39">
        <f>'II SEM C'!I45</f>
        <v>73.68421053</v>
      </c>
      <c r="F45" s="39">
        <f>'II SEM C'!L45</f>
        <v>88.46153846</v>
      </c>
      <c r="G45" s="39">
        <f>'II SEM C'!O45</f>
        <v>93.93939394</v>
      </c>
      <c r="H45" s="39">
        <f>'II SEM C'!R45</f>
        <v>94.59459459</v>
      </c>
      <c r="I45" s="39">
        <f>'II SEM C'!U45</f>
        <v>92.10526316</v>
      </c>
      <c r="J45" s="39">
        <f>'II SEM C'!X45</f>
        <v>66.66666667</v>
      </c>
      <c r="K45" s="39">
        <f t="shared" si="1"/>
        <v>82.47268717</v>
      </c>
    </row>
    <row r="46" ht="12.75" customHeight="1">
      <c r="A46" s="23">
        <v>40.0</v>
      </c>
      <c r="B46" s="24" t="s">
        <v>98</v>
      </c>
      <c r="C46" s="25" t="s">
        <v>128</v>
      </c>
      <c r="D46" s="39">
        <f>'II SEM C'!F46</f>
        <v>75</v>
      </c>
      <c r="E46" s="39">
        <f>'II SEM C'!I46</f>
        <v>94.73684211</v>
      </c>
      <c r="F46" s="39">
        <f>'II SEM C'!L46</f>
        <v>96.15384615</v>
      </c>
      <c r="G46" s="39">
        <f>'II SEM C'!O46</f>
        <v>100</v>
      </c>
      <c r="H46" s="39">
        <f>'II SEM C'!R46</f>
        <v>91.89189189</v>
      </c>
      <c r="I46" s="39">
        <f>'II SEM C'!U46</f>
        <v>100</v>
      </c>
      <c r="J46" s="39">
        <f>'II SEM C'!X46</f>
        <v>83.33333333</v>
      </c>
      <c r="K46" s="39">
        <f t="shared" si="1"/>
        <v>91.58798764</v>
      </c>
    </row>
    <row r="47" ht="12.75" customHeight="1">
      <c r="A47" s="23">
        <v>41.0</v>
      </c>
      <c r="B47" s="24" t="s">
        <v>100</v>
      </c>
      <c r="C47" s="25" t="s">
        <v>129</v>
      </c>
      <c r="D47" s="39">
        <f>'II SEM C'!F47</f>
        <v>75</v>
      </c>
      <c r="E47" s="39">
        <f>'II SEM C'!I47</f>
        <v>89.47368421</v>
      </c>
      <c r="F47" s="39">
        <f>'II SEM C'!L47</f>
        <v>96.15384615</v>
      </c>
      <c r="G47" s="39">
        <f>'II SEM C'!O47</f>
        <v>96.96969697</v>
      </c>
      <c r="H47" s="39">
        <f>'II SEM C'!R47</f>
        <v>94.59459459</v>
      </c>
      <c r="I47" s="39">
        <f>'II SEM C'!U47</f>
        <v>100</v>
      </c>
      <c r="J47" s="39">
        <f>'II SEM C'!X47</f>
        <v>88.88888889</v>
      </c>
      <c r="K47" s="39">
        <f t="shared" si="1"/>
        <v>91.58295869</v>
      </c>
    </row>
    <row r="48" ht="12.75" customHeight="1">
      <c r="A48" s="23">
        <v>42.0</v>
      </c>
      <c r="B48" s="24" t="s">
        <v>102</v>
      </c>
      <c r="C48" s="25" t="s">
        <v>130</v>
      </c>
      <c r="D48" s="39">
        <f>'II SEM C'!F48</f>
        <v>71.42857143</v>
      </c>
      <c r="E48" s="39">
        <f>'II SEM C'!I48</f>
        <v>68.42105263</v>
      </c>
      <c r="F48" s="39">
        <f>'II SEM C'!L48</f>
        <v>88.46153846</v>
      </c>
      <c r="G48" s="39">
        <f>'II SEM C'!O48</f>
        <v>72.72727273</v>
      </c>
      <c r="H48" s="39">
        <f>'II SEM C'!R48</f>
        <v>70.27027027</v>
      </c>
      <c r="I48" s="39">
        <f>'II SEM C'!U48</f>
        <v>92.10526316</v>
      </c>
      <c r="J48" s="39">
        <f>'II SEM C'!X48</f>
        <v>72.22222222</v>
      </c>
      <c r="K48" s="39">
        <f t="shared" si="1"/>
        <v>76.51945584</v>
      </c>
    </row>
    <row r="49" ht="12.75" customHeight="1">
      <c r="A49" s="23">
        <v>43.0</v>
      </c>
      <c r="B49" s="24" t="s">
        <v>104</v>
      </c>
      <c r="C49" s="25" t="s">
        <v>131</v>
      </c>
      <c r="D49" s="39">
        <f>'II SEM C'!F49</f>
        <v>75</v>
      </c>
      <c r="E49" s="39">
        <f>'II SEM C'!I49</f>
        <v>89.47368421</v>
      </c>
      <c r="F49" s="39">
        <f>'II SEM C'!L49</f>
        <v>96.15384615</v>
      </c>
      <c r="G49" s="39">
        <f>'II SEM C'!O49</f>
        <v>96.96969697</v>
      </c>
      <c r="H49" s="39">
        <f>'II SEM C'!R49</f>
        <v>94.59459459</v>
      </c>
      <c r="I49" s="39">
        <f>'II SEM C'!U49</f>
        <v>92.10526316</v>
      </c>
      <c r="J49" s="39">
        <f>'II SEM C'!X49</f>
        <v>88.88888889</v>
      </c>
      <c r="K49" s="39">
        <f t="shared" si="1"/>
        <v>90.45513914</v>
      </c>
    </row>
    <row r="50" ht="12.75" customHeight="1">
      <c r="A50" s="23">
        <v>44.0</v>
      </c>
      <c r="B50" s="24" t="s">
        <v>106</v>
      </c>
      <c r="C50" s="25" t="s">
        <v>132</v>
      </c>
      <c r="D50" s="39">
        <f>'II SEM C'!F50</f>
        <v>78.57142857</v>
      </c>
      <c r="E50" s="39">
        <f>'II SEM C'!I50</f>
        <v>68.42105263</v>
      </c>
      <c r="F50" s="39">
        <f>'II SEM C'!L50</f>
        <v>80.76923077</v>
      </c>
      <c r="G50" s="39">
        <f>'II SEM C'!O50</f>
        <v>87.87878788</v>
      </c>
      <c r="H50" s="39">
        <f>'II SEM C'!R50</f>
        <v>81.08108108</v>
      </c>
      <c r="I50" s="39">
        <f>'II SEM C'!U50</f>
        <v>89.47368421</v>
      </c>
      <c r="J50" s="39">
        <f>'II SEM C'!X50</f>
        <v>88.88888889</v>
      </c>
      <c r="K50" s="39">
        <f t="shared" si="1"/>
        <v>82.15487915</v>
      </c>
    </row>
    <row r="51" ht="12.75" customHeight="1">
      <c r="A51" s="23">
        <v>45.0</v>
      </c>
      <c r="B51" s="24" t="s">
        <v>108</v>
      </c>
      <c r="C51" s="25" t="s">
        <v>133</v>
      </c>
      <c r="D51" s="39">
        <f>'II SEM C'!F51</f>
        <v>32.14285714</v>
      </c>
      <c r="E51" s="39">
        <f>'II SEM C'!I51</f>
        <v>73.68421053</v>
      </c>
      <c r="F51" s="39">
        <f>'II SEM C'!L51</f>
        <v>50</v>
      </c>
      <c r="G51" s="39">
        <f>'II SEM C'!O51</f>
        <v>45.45454545</v>
      </c>
      <c r="H51" s="39">
        <f>'II SEM C'!R51</f>
        <v>37.83783784</v>
      </c>
      <c r="I51" s="39">
        <f>'II SEM C'!U51</f>
        <v>52.63157895</v>
      </c>
      <c r="J51" s="39">
        <f>'II SEM C'!X51</f>
        <v>55.55555556</v>
      </c>
      <c r="K51" s="39">
        <f t="shared" si="1"/>
        <v>49.61522649</v>
      </c>
    </row>
    <row r="52" ht="12.75" customHeight="1">
      <c r="A52" s="23">
        <v>46.0</v>
      </c>
      <c r="B52" s="24" t="s">
        <v>110</v>
      </c>
      <c r="C52" s="25" t="s">
        <v>134</v>
      </c>
      <c r="D52" s="39">
        <f>'II SEM C'!F52</f>
        <v>75</v>
      </c>
      <c r="E52" s="39">
        <f>'II SEM C'!I52</f>
        <v>89.47368421</v>
      </c>
      <c r="F52" s="39">
        <f>'II SEM C'!L52</f>
        <v>96.15384615</v>
      </c>
      <c r="G52" s="39">
        <f>'II SEM C'!O52</f>
        <v>96.96969697</v>
      </c>
      <c r="H52" s="39">
        <f>'II SEM C'!R52</f>
        <v>83.78378378</v>
      </c>
      <c r="I52" s="39">
        <f>'II SEM C'!U52</f>
        <v>86.84210526</v>
      </c>
      <c r="J52" s="39">
        <f>'II SEM C'!X52</f>
        <v>83.33333333</v>
      </c>
      <c r="K52" s="39">
        <f t="shared" si="1"/>
        <v>87.3652071</v>
      </c>
    </row>
    <row r="53" ht="12.75" customHeight="1">
      <c r="A53" s="23">
        <v>47.0</v>
      </c>
      <c r="B53" s="24" t="s">
        <v>112</v>
      </c>
      <c r="C53" s="25" t="s">
        <v>135</v>
      </c>
      <c r="D53" s="39">
        <f>'II SEM C'!F53</f>
        <v>78.57142857</v>
      </c>
      <c r="E53" s="39">
        <f>'II SEM C'!I53</f>
        <v>63.15789474</v>
      </c>
      <c r="F53" s="39">
        <f>'II SEM C'!L53</f>
        <v>92.30769231</v>
      </c>
      <c r="G53" s="39">
        <f>'II SEM C'!O53</f>
        <v>93.93939394</v>
      </c>
      <c r="H53" s="39">
        <f>'II SEM C'!R53</f>
        <v>91.89189189</v>
      </c>
      <c r="I53" s="39">
        <f>'II SEM C'!U53</f>
        <v>97.36842105</v>
      </c>
      <c r="J53" s="39">
        <f>'II SEM C'!X53</f>
        <v>94.44444444</v>
      </c>
      <c r="K53" s="39">
        <f t="shared" si="1"/>
        <v>87.38302385</v>
      </c>
    </row>
    <row r="54" ht="12.75" customHeight="1">
      <c r="A54" s="23">
        <v>48.0</v>
      </c>
      <c r="B54" s="24" t="s">
        <v>114</v>
      </c>
      <c r="C54" s="25" t="s">
        <v>136</v>
      </c>
      <c r="D54" s="39">
        <f>'II SEM C'!F54</f>
        <v>75</v>
      </c>
      <c r="E54" s="39">
        <f>'II SEM C'!I54</f>
        <v>42.10526316</v>
      </c>
      <c r="F54" s="39">
        <f>'II SEM C'!L54</f>
        <v>38.46153846</v>
      </c>
      <c r="G54" s="39">
        <f>'II SEM C'!O54</f>
        <v>51.51515152</v>
      </c>
      <c r="H54" s="39">
        <f>'II SEM C'!R54</f>
        <v>40.54054054</v>
      </c>
      <c r="I54" s="39">
        <f>'II SEM C'!U54</f>
        <v>57.89473684</v>
      </c>
      <c r="J54" s="39">
        <f>'II SEM C'!X54</f>
        <v>72.22222222</v>
      </c>
      <c r="K54" s="39">
        <f t="shared" si="1"/>
        <v>53.96277896</v>
      </c>
    </row>
    <row r="55" ht="12.75" customHeight="1">
      <c r="A55" s="23">
        <v>49.0</v>
      </c>
      <c r="B55" s="24" t="s">
        <v>116</v>
      </c>
      <c r="C55" s="25" t="s">
        <v>137</v>
      </c>
      <c r="D55" s="39">
        <f>'II SEM C'!F55</f>
        <v>57.14285714</v>
      </c>
      <c r="E55" s="39">
        <f>'II SEM C'!I55</f>
        <v>26.31578947</v>
      </c>
      <c r="F55" s="39">
        <f>'II SEM C'!L55</f>
        <v>50</v>
      </c>
      <c r="G55" s="39">
        <f>'II SEM C'!O55</f>
        <v>57.57575758</v>
      </c>
      <c r="H55" s="39">
        <f>'II SEM C'!R55</f>
        <v>48.64864865</v>
      </c>
      <c r="I55" s="39">
        <f>'II SEM C'!U55</f>
        <v>55.26315789</v>
      </c>
      <c r="J55" s="39">
        <f>'II SEM C'!X55</f>
        <v>27.77777778</v>
      </c>
      <c r="K55" s="39">
        <f t="shared" si="1"/>
        <v>46.10342693</v>
      </c>
    </row>
    <row r="56" ht="12.75" customHeight="1">
      <c r="A56" s="23">
        <v>50.0</v>
      </c>
      <c r="B56" s="24" t="s">
        <v>118</v>
      </c>
      <c r="C56" s="25" t="s">
        <v>138</v>
      </c>
      <c r="D56" s="39">
        <f>'II SEM C'!F56</f>
        <v>71.42857143</v>
      </c>
      <c r="E56" s="39">
        <f>'II SEM C'!I56</f>
        <v>52.63157895</v>
      </c>
      <c r="F56" s="39">
        <f>'II SEM C'!L56</f>
        <v>11.53846154</v>
      </c>
      <c r="G56" s="39">
        <f>'II SEM C'!O56</f>
        <v>24.24242424</v>
      </c>
      <c r="H56" s="39">
        <f>'II SEM C'!R56</f>
        <v>21.62162162</v>
      </c>
      <c r="I56" s="39">
        <f>'II SEM C'!U56</f>
        <v>28.94736842</v>
      </c>
      <c r="J56" s="39">
        <f>'II SEM C'!X56</f>
        <v>0</v>
      </c>
      <c r="K56" s="39">
        <f t="shared" si="1"/>
        <v>30.05857517</v>
      </c>
    </row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1:$K$56"/>
  <mergeCells count="7">
    <mergeCell ref="A1:K1"/>
    <mergeCell ref="A2:K2"/>
    <mergeCell ref="A3:K3"/>
    <mergeCell ref="A4:K4"/>
    <mergeCell ref="A5:A6"/>
    <mergeCell ref="B5:B6"/>
    <mergeCell ref="C5:C6"/>
  </mergeCells>
  <conditionalFormatting sqref="D5:D56 E7:I56 J5:J56 K5:K56">
    <cfRule type="cellIs" dxfId="0" priority="1" operator="lessThan">
      <formula>49</formula>
    </cfRule>
  </conditionalFormatting>
  <conditionalFormatting sqref="K7">
    <cfRule type="notContainsBlanks" dxfId="1" priority="2">
      <formula>LEN(TRIM(K7))&gt;0</formula>
    </cfRule>
  </conditionalFormatting>
  <printOptions/>
  <pageMargins bottom="0.018763796909492272" footer="0.0" header="0.0" left="0.3657487091222031" right="0.0" top="0.16092943201376936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2.38"/>
    <col customWidth="1" min="3" max="3" width="19.63"/>
    <col customWidth="1" hidden="1" min="4" max="4" width="10.38"/>
    <col customWidth="1" min="5" max="5" width="10.38"/>
    <col customWidth="1" hidden="1" min="6" max="6" width="9.88"/>
    <col customWidth="1" min="7" max="7" width="9.88"/>
    <col customWidth="1" hidden="1" min="8" max="8" width="10.5"/>
    <col customWidth="1" min="9" max="9" width="10.5"/>
    <col customWidth="1" hidden="1" min="10" max="10" width="10.25"/>
    <col customWidth="1" min="11" max="11" width="10.25"/>
    <col customWidth="1" hidden="1" min="12" max="12" width="10.88"/>
    <col customWidth="1" min="13" max="13" width="10.88"/>
    <col customWidth="1" hidden="1" min="14" max="14" width="9.88"/>
    <col customWidth="1" min="15" max="15" width="9.88"/>
    <col customWidth="1" hidden="1" min="16" max="16" width="9.88"/>
    <col customWidth="1" min="17" max="17" width="9.88"/>
    <col customWidth="1" min="18" max="26" width="12.5"/>
  </cols>
  <sheetData>
    <row r="1" ht="15.75" customHeight="1">
      <c r="A1" s="41" t="s">
        <v>120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ht="15.75" customHeight="1">
      <c r="A2" s="33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ht="15.75" customHeight="1">
      <c r="A3" s="42" t="s">
        <v>139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</row>
    <row r="4" ht="15.75" customHeight="1">
      <c r="A4" s="9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7"/>
    </row>
    <row r="5" ht="15.75" customHeight="1">
      <c r="A5" s="43" t="s">
        <v>4</v>
      </c>
      <c r="B5" s="43" t="s">
        <v>5</v>
      </c>
      <c r="C5" s="43" t="s">
        <v>6</v>
      </c>
      <c r="D5" s="35" t="s">
        <v>122</v>
      </c>
      <c r="E5" s="44" t="s">
        <v>122</v>
      </c>
      <c r="F5" s="45" t="s">
        <v>123</v>
      </c>
      <c r="G5" s="44" t="s">
        <v>123</v>
      </c>
      <c r="H5" s="45" t="s">
        <v>9</v>
      </c>
      <c r="I5" s="45" t="s">
        <v>9</v>
      </c>
      <c r="J5" s="45" t="s">
        <v>10</v>
      </c>
      <c r="K5" s="45" t="s">
        <v>10</v>
      </c>
      <c r="L5" s="45" t="s">
        <v>11</v>
      </c>
      <c r="M5" s="45" t="s">
        <v>11</v>
      </c>
      <c r="N5" s="45" t="s">
        <v>12</v>
      </c>
      <c r="O5" s="45" t="s">
        <v>12</v>
      </c>
      <c r="P5" s="45" t="s">
        <v>13</v>
      </c>
      <c r="Q5" s="45" t="s">
        <v>13</v>
      </c>
    </row>
    <row r="6" ht="15.75" customHeight="1">
      <c r="A6" s="16">
        <v>1.0</v>
      </c>
      <c r="B6" s="16" t="s">
        <v>20</v>
      </c>
      <c r="C6" s="38" t="s">
        <v>125</v>
      </c>
      <c r="D6" s="46">
        <f>'II SEM C'!F7</f>
        <v>14.28571429</v>
      </c>
      <c r="E6" s="47">
        <f t="shared" ref="E6:E55" si="1">IF(D6&gt;=90,5,IF(D6&gt;=85,4,IF(D6&gt;=80,3,2)))</f>
        <v>2</v>
      </c>
      <c r="F6" s="47">
        <f>'II SEM C'!I7</f>
        <v>94.73684211</v>
      </c>
      <c r="G6" s="47">
        <f t="shared" ref="G6:G55" si="2">IF(F6&gt;=90,5,IF(F6&gt;=85,4,IF(F6&gt;=80,3,2)))</f>
        <v>5</v>
      </c>
      <c r="H6" s="47">
        <f>'II SEM C'!L7</f>
        <v>88.46153846</v>
      </c>
      <c r="I6" s="47">
        <f t="shared" ref="I6:I55" si="3">IF(H6&gt;=90,5,IF(H6&gt;=85,4,IF(H6&gt;=80,3,2)))</f>
        <v>4</v>
      </c>
      <c r="J6" s="47">
        <f>'II SEM C'!O7</f>
        <v>81.81818182</v>
      </c>
      <c r="K6" s="47">
        <f t="shared" ref="K6:K55" si="4">IF(J6&gt;=90,5,IF(J6&gt;=85,4,IF(J6&gt;=80,3,2)))</f>
        <v>3</v>
      </c>
      <c r="L6" s="47">
        <f>'II SEM C'!R7</f>
        <v>56.75675676</v>
      </c>
      <c r="M6" s="47">
        <f t="shared" ref="M6:M55" si="5">IF(L6&gt;=90,5,IF(L6&gt;=85,4,IF(L6&gt;=80,3,2)))</f>
        <v>2</v>
      </c>
      <c r="N6" s="47">
        <f>'II SEM C'!U7</f>
        <v>92.10526316</v>
      </c>
      <c r="O6" s="47">
        <f t="shared" ref="O6:O55" si="6">IF(N6&gt;=90,5,IF(N6&gt;=85,4,IF(N6&gt;=80,3,2)))</f>
        <v>5</v>
      </c>
      <c r="P6" s="47">
        <f>'II SEM C'!X7</f>
        <v>83.33333333</v>
      </c>
      <c r="Q6" s="47">
        <f t="shared" ref="Q6:Q55" si="7">IF(P6&gt;=90,5,IF(P6&gt;=85,4,IF(P6&gt;=80,3,2)))</f>
        <v>3</v>
      </c>
    </row>
    <row r="7" ht="15.75" customHeight="1">
      <c r="A7" s="23">
        <v>2.0</v>
      </c>
      <c r="B7" s="24" t="s">
        <v>22</v>
      </c>
      <c r="C7" s="25" t="s">
        <v>23</v>
      </c>
      <c r="D7" s="46">
        <f>'II SEM C'!F8</f>
        <v>28.57142857</v>
      </c>
      <c r="E7" s="47">
        <f t="shared" si="1"/>
        <v>2</v>
      </c>
      <c r="F7" s="47">
        <f>'II SEM C'!I8</f>
        <v>73.68421053</v>
      </c>
      <c r="G7" s="47">
        <f t="shared" si="2"/>
        <v>2</v>
      </c>
      <c r="H7" s="47">
        <f>'II SEM C'!L8</f>
        <v>80.76923077</v>
      </c>
      <c r="I7" s="47">
        <f t="shared" si="3"/>
        <v>3</v>
      </c>
      <c r="J7" s="47">
        <f>'II SEM C'!O8</f>
        <v>72.72727273</v>
      </c>
      <c r="K7" s="47">
        <f t="shared" si="4"/>
        <v>2</v>
      </c>
      <c r="L7" s="47">
        <f>'II SEM C'!R8</f>
        <v>56.75675676</v>
      </c>
      <c r="M7" s="47">
        <f t="shared" si="5"/>
        <v>2</v>
      </c>
      <c r="N7" s="47">
        <f>'II SEM C'!U8</f>
        <v>76.31578947</v>
      </c>
      <c r="O7" s="47">
        <f t="shared" si="6"/>
        <v>2</v>
      </c>
      <c r="P7" s="47">
        <f>'II SEM C'!X8</f>
        <v>50</v>
      </c>
      <c r="Q7" s="47">
        <f t="shared" si="7"/>
        <v>2</v>
      </c>
    </row>
    <row r="8" ht="15.75" customHeight="1">
      <c r="A8" s="23">
        <v>3.0</v>
      </c>
      <c r="B8" s="24" t="s">
        <v>24</v>
      </c>
      <c r="C8" s="25" t="s">
        <v>25</v>
      </c>
      <c r="D8" s="46">
        <f>'II SEM C'!F9</f>
        <v>67.85714286</v>
      </c>
      <c r="E8" s="47">
        <f t="shared" si="1"/>
        <v>2</v>
      </c>
      <c r="F8" s="47">
        <f>'II SEM C'!I9</f>
        <v>89.47368421</v>
      </c>
      <c r="G8" s="47">
        <f t="shared" si="2"/>
        <v>4</v>
      </c>
      <c r="H8" s="47">
        <f>'II SEM C'!L9</f>
        <v>100</v>
      </c>
      <c r="I8" s="47">
        <f t="shared" si="3"/>
        <v>5</v>
      </c>
      <c r="J8" s="47">
        <f>'II SEM C'!O9</f>
        <v>96.96969697</v>
      </c>
      <c r="K8" s="47">
        <f t="shared" si="4"/>
        <v>5</v>
      </c>
      <c r="L8" s="47">
        <f>'II SEM C'!R9</f>
        <v>91.89189189</v>
      </c>
      <c r="M8" s="47">
        <f t="shared" si="5"/>
        <v>5</v>
      </c>
      <c r="N8" s="47">
        <f>'II SEM C'!U9</f>
        <v>94.73684211</v>
      </c>
      <c r="O8" s="47">
        <f t="shared" si="6"/>
        <v>5</v>
      </c>
      <c r="P8" s="47">
        <f>'II SEM C'!X9</f>
        <v>88.88888889</v>
      </c>
      <c r="Q8" s="47">
        <f t="shared" si="7"/>
        <v>4</v>
      </c>
    </row>
    <row r="9" ht="15.75" customHeight="1">
      <c r="A9" s="23">
        <v>4.0</v>
      </c>
      <c r="B9" s="24" t="s">
        <v>26</v>
      </c>
      <c r="C9" s="25" t="s">
        <v>27</v>
      </c>
      <c r="D9" s="46">
        <f>'II SEM C'!F10</f>
        <v>89.28571429</v>
      </c>
      <c r="E9" s="47">
        <f t="shared" si="1"/>
        <v>4</v>
      </c>
      <c r="F9" s="47">
        <f>'II SEM C'!I10</f>
        <v>94.73684211</v>
      </c>
      <c r="G9" s="47">
        <f t="shared" si="2"/>
        <v>5</v>
      </c>
      <c r="H9" s="47">
        <f>'II SEM C'!L10</f>
        <v>100</v>
      </c>
      <c r="I9" s="47">
        <f t="shared" si="3"/>
        <v>5</v>
      </c>
      <c r="J9" s="47">
        <f>'II SEM C'!O10</f>
        <v>96.96969697</v>
      </c>
      <c r="K9" s="47">
        <f t="shared" si="4"/>
        <v>5</v>
      </c>
      <c r="L9" s="47">
        <f>'II SEM C'!R10</f>
        <v>94.59459459</v>
      </c>
      <c r="M9" s="47">
        <f t="shared" si="5"/>
        <v>5</v>
      </c>
      <c r="N9" s="47">
        <f>'II SEM C'!U10</f>
        <v>97.36842105</v>
      </c>
      <c r="O9" s="47">
        <f t="shared" si="6"/>
        <v>5</v>
      </c>
      <c r="P9" s="47">
        <f>'II SEM C'!X10</f>
        <v>83.33333333</v>
      </c>
      <c r="Q9" s="47">
        <f t="shared" si="7"/>
        <v>3</v>
      </c>
    </row>
    <row r="10" ht="15.75" customHeight="1">
      <c r="A10" s="23">
        <v>5.0</v>
      </c>
      <c r="B10" s="24" t="s">
        <v>28</v>
      </c>
      <c r="C10" s="25" t="s">
        <v>29</v>
      </c>
      <c r="D10" s="46">
        <f>'II SEM C'!F11</f>
        <v>64.28571429</v>
      </c>
      <c r="E10" s="47">
        <f t="shared" si="1"/>
        <v>2</v>
      </c>
      <c r="F10" s="47">
        <f>'II SEM C'!I11</f>
        <v>52.63157895</v>
      </c>
      <c r="G10" s="47">
        <f t="shared" si="2"/>
        <v>2</v>
      </c>
      <c r="H10" s="47">
        <f>'II SEM C'!L11</f>
        <v>73.07692308</v>
      </c>
      <c r="I10" s="47">
        <f t="shared" si="3"/>
        <v>2</v>
      </c>
      <c r="J10" s="47">
        <f>'II SEM C'!O11</f>
        <v>63.63636364</v>
      </c>
      <c r="K10" s="47">
        <f t="shared" si="4"/>
        <v>2</v>
      </c>
      <c r="L10" s="47">
        <f>'II SEM C'!R11</f>
        <v>64.86486486</v>
      </c>
      <c r="M10" s="47">
        <f t="shared" si="5"/>
        <v>2</v>
      </c>
      <c r="N10" s="47">
        <f>'II SEM C'!U11</f>
        <v>60.52631579</v>
      </c>
      <c r="O10" s="47">
        <f t="shared" si="6"/>
        <v>2</v>
      </c>
      <c r="P10" s="47">
        <f>'II SEM C'!X11</f>
        <v>88.88888889</v>
      </c>
      <c r="Q10" s="47">
        <f t="shared" si="7"/>
        <v>4</v>
      </c>
    </row>
    <row r="11" ht="15.75" customHeight="1">
      <c r="A11" s="23">
        <v>6.0</v>
      </c>
      <c r="B11" s="24" t="s">
        <v>30</v>
      </c>
      <c r="C11" s="25" t="s">
        <v>31</v>
      </c>
      <c r="D11" s="46">
        <f>'II SEM C'!F12</f>
        <v>85.71428571</v>
      </c>
      <c r="E11" s="47">
        <f t="shared" si="1"/>
        <v>4</v>
      </c>
      <c r="F11" s="47">
        <f>'II SEM C'!I12</f>
        <v>94.73684211</v>
      </c>
      <c r="G11" s="47">
        <f t="shared" si="2"/>
        <v>5</v>
      </c>
      <c r="H11" s="47">
        <f>'II SEM C'!L12</f>
        <v>96.15384615</v>
      </c>
      <c r="I11" s="47">
        <f t="shared" si="3"/>
        <v>5</v>
      </c>
      <c r="J11" s="47">
        <f>'II SEM C'!O12</f>
        <v>96.96969697</v>
      </c>
      <c r="K11" s="47">
        <f t="shared" si="4"/>
        <v>5</v>
      </c>
      <c r="L11" s="47">
        <f>'II SEM C'!R12</f>
        <v>91.89189189</v>
      </c>
      <c r="M11" s="47">
        <f t="shared" si="5"/>
        <v>5</v>
      </c>
      <c r="N11" s="47">
        <f>'II SEM C'!U12</f>
        <v>97.36842105</v>
      </c>
      <c r="O11" s="47">
        <f t="shared" si="6"/>
        <v>5</v>
      </c>
      <c r="P11" s="47">
        <f>'II SEM C'!X12</f>
        <v>94.44444444</v>
      </c>
      <c r="Q11" s="47">
        <f t="shared" si="7"/>
        <v>5</v>
      </c>
    </row>
    <row r="12" ht="15.75" customHeight="1">
      <c r="A12" s="23">
        <v>7.0</v>
      </c>
      <c r="B12" s="24" t="s">
        <v>32</v>
      </c>
      <c r="C12" s="25" t="s">
        <v>33</v>
      </c>
      <c r="D12" s="46">
        <f>'II SEM C'!F13</f>
        <v>53.57142857</v>
      </c>
      <c r="E12" s="47">
        <f t="shared" si="1"/>
        <v>2</v>
      </c>
      <c r="F12" s="47">
        <f>'II SEM C'!I13</f>
        <v>100</v>
      </c>
      <c r="G12" s="47">
        <f t="shared" si="2"/>
        <v>5</v>
      </c>
      <c r="H12" s="47">
        <f>'II SEM C'!L13</f>
        <v>96.15384615</v>
      </c>
      <c r="I12" s="47">
        <f t="shared" si="3"/>
        <v>5</v>
      </c>
      <c r="J12" s="47">
        <f>'II SEM C'!O13</f>
        <v>100</v>
      </c>
      <c r="K12" s="47">
        <f t="shared" si="4"/>
        <v>5</v>
      </c>
      <c r="L12" s="47">
        <f>'II SEM C'!R13</f>
        <v>89.18918919</v>
      </c>
      <c r="M12" s="47">
        <f t="shared" si="5"/>
        <v>4</v>
      </c>
      <c r="N12" s="47">
        <f>'II SEM C'!U13</f>
        <v>100</v>
      </c>
      <c r="O12" s="47">
        <f t="shared" si="6"/>
        <v>5</v>
      </c>
      <c r="P12" s="47">
        <f>'II SEM C'!X13</f>
        <v>100</v>
      </c>
      <c r="Q12" s="47">
        <f t="shared" si="7"/>
        <v>5</v>
      </c>
    </row>
    <row r="13" ht="15.75" customHeight="1">
      <c r="A13" s="23">
        <v>8.0</v>
      </c>
      <c r="B13" s="24" t="s">
        <v>34</v>
      </c>
      <c r="C13" s="25" t="s">
        <v>35</v>
      </c>
      <c r="D13" s="46">
        <f>'II SEM C'!F14</f>
        <v>75</v>
      </c>
      <c r="E13" s="47">
        <f t="shared" si="1"/>
        <v>2</v>
      </c>
      <c r="F13" s="47">
        <f>'II SEM C'!I14</f>
        <v>84.21052632</v>
      </c>
      <c r="G13" s="47">
        <f t="shared" si="2"/>
        <v>3</v>
      </c>
      <c r="H13" s="47">
        <f>'II SEM C'!L14</f>
        <v>88.46153846</v>
      </c>
      <c r="I13" s="47">
        <f t="shared" si="3"/>
        <v>4</v>
      </c>
      <c r="J13" s="47">
        <f>'II SEM C'!O14</f>
        <v>84.84848485</v>
      </c>
      <c r="K13" s="47">
        <f t="shared" si="4"/>
        <v>3</v>
      </c>
      <c r="L13" s="47">
        <f>'II SEM C'!R14</f>
        <v>67.56756757</v>
      </c>
      <c r="M13" s="47">
        <f t="shared" si="5"/>
        <v>2</v>
      </c>
      <c r="N13" s="47">
        <f>'II SEM C'!U14</f>
        <v>81.57894737</v>
      </c>
      <c r="O13" s="47">
        <f t="shared" si="6"/>
        <v>3</v>
      </c>
      <c r="P13" s="47">
        <f>'II SEM C'!X14</f>
        <v>88.88888889</v>
      </c>
      <c r="Q13" s="47">
        <f t="shared" si="7"/>
        <v>4</v>
      </c>
    </row>
    <row r="14" ht="15.75" customHeight="1">
      <c r="A14" s="23">
        <v>9.0</v>
      </c>
      <c r="B14" s="24" t="s">
        <v>36</v>
      </c>
      <c r="C14" s="25" t="s">
        <v>37</v>
      </c>
      <c r="D14" s="46">
        <f>'II SEM C'!F15</f>
        <v>57.14285714</v>
      </c>
      <c r="E14" s="47">
        <f t="shared" si="1"/>
        <v>2</v>
      </c>
      <c r="F14" s="47">
        <f>'II SEM C'!I15</f>
        <v>47.36842105</v>
      </c>
      <c r="G14" s="47">
        <f t="shared" si="2"/>
        <v>2</v>
      </c>
      <c r="H14" s="47">
        <f>'II SEM C'!L15</f>
        <v>73.07692308</v>
      </c>
      <c r="I14" s="47">
        <f t="shared" si="3"/>
        <v>2</v>
      </c>
      <c r="J14" s="47">
        <f>'II SEM C'!O15</f>
        <v>72.72727273</v>
      </c>
      <c r="K14" s="47">
        <f t="shared" si="4"/>
        <v>2</v>
      </c>
      <c r="L14" s="47">
        <f>'II SEM C'!R15</f>
        <v>64.86486486</v>
      </c>
      <c r="M14" s="47">
        <f t="shared" si="5"/>
        <v>2</v>
      </c>
      <c r="N14" s="47">
        <f>'II SEM C'!U15</f>
        <v>76.31578947</v>
      </c>
      <c r="O14" s="47">
        <f t="shared" si="6"/>
        <v>2</v>
      </c>
      <c r="P14" s="47">
        <f>'II SEM C'!X15</f>
        <v>77.77777778</v>
      </c>
      <c r="Q14" s="47">
        <f t="shared" si="7"/>
        <v>2</v>
      </c>
    </row>
    <row r="15" ht="15.75" customHeight="1">
      <c r="A15" s="23">
        <v>10.0</v>
      </c>
      <c r="B15" s="24" t="s">
        <v>38</v>
      </c>
      <c r="C15" s="25" t="s">
        <v>39</v>
      </c>
      <c r="D15" s="46">
        <f>'II SEM C'!F16</f>
        <v>78.57142857</v>
      </c>
      <c r="E15" s="47">
        <f t="shared" si="1"/>
        <v>2</v>
      </c>
      <c r="F15" s="47">
        <f>'II SEM C'!I16</f>
        <v>89.47368421</v>
      </c>
      <c r="G15" s="47">
        <f t="shared" si="2"/>
        <v>4</v>
      </c>
      <c r="H15" s="47">
        <f>'II SEM C'!L16</f>
        <v>88.46153846</v>
      </c>
      <c r="I15" s="47">
        <f t="shared" si="3"/>
        <v>4</v>
      </c>
      <c r="J15" s="47">
        <f>'II SEM C'!O16</f>
        <v>66.66666667</v>
      </c>
      <c r="K15" s="47">
        <f t="shared" si="4"/>
        <v>2</v>
      </c>
      <c r="L15" s="47">
        <f>'II SEM C'!R16</f>
        <v>83.78378378</v>
      </c>
      <c r="M15" s="47">
        <f t="shared" si="5"/>
        <v>3</v>
      </c>
      <c r="N15" s="47">
        <f>'II SEM C'!U16</f>
        <v>94.73684211</v>
      </c>
      <c r="O15" s="47">
        <f t="shared" si="6"/>
        <v>5</v>
      </c>
      <c r="P15" s="47">
        <f>'II SEM C'!X16</f>
        <v>72.22222222</v>
      </c>
      <c r="Q15" s="47">
        <f t="shared" si="7"/>
        <v>2</v>
      </c>
    </row>
    <row r="16" ht="15.75" customHeight="1">
      <c r="A16" s="23">
        <v>11.0</v>
      </c>
      <c r="B16" s="24" t="s">
        <v>40</v>
      </c>
      <c r="C16" s="25" t="s">
        <v>41</v>
      </c>
      <c r="D16" s="46">
        <f>'II SEM C'!F17</f>
        <v>85.71428571</v>
      </c>
      <c r="E16" s="47">
        <f t="shared" si="1"/>
        <v>4</v>
      </c>
      <c r="F16" s="47">
        <f>'II SEM C'!I17</f>
        <v>100</v>
      </c>
      <c r="G16" s="47">
        <f t="shared" si="2"/>
        <v>5</v>
      </c>
      <c r="H16" s="47">
        <f>'II SEM C'!L17</f>
        <v>88.46153846</v>
      </c>
      <c r="I16" s="47">
        <f t="shared" si="3"/>
        <v>4</v>
      </c>
      <c r="J16" s="47">
        <f>'II SEM C'!O17</f>
        <v>93.93939394</v>
      </c>
      <c r="K16" s="47">
        <f t="shared" si="4"/>
        <v>5</v>
      </c>
      <c r="L16" s="47">
        <f>'II SEM C'!R17</f>
        <v>91.89189189</v>
      </c>
      <c r="M16" s="47">
        <f t="shared" si="5"/>
        <v>5</v>
      </c>
      <c r="N16" s="47">
        <f>'II SEM C'!U17</f>
        <v>97.36842105</v>
      </c>
      <c r="O16" s="47">
        <f t="shared" si="6"/>
        <v>5</v>
      </c>
      <c r="P16" s="47">
        <f>'II SEM C'!X17</f>
        <v>83.33333333</v>
      </c>
      <c r="Q16" s="47">
        <f t="shared" si="7"/>
        <v>3</v>
      </c>
    </row>
    <row r="17" ht="15.75" customHeight="1">
      <c r="A17" s="23">
        <v>12.0</v>
      </c>
      <c r="B17" s="24" t="s">
        <v>42</v>
      </c>
      <c r="C17" s="25" t="s">
        <v>43</v>
      </c>
      <c r="D17" s="46">
        <f>'II SEM C'!F18</f>
        <v>78.57142857</v>
      </c>
      <c r="E17" s="47">
        <f t="shared" si="1"/>
        <v>2</v>
      </c>
      <c r="F17" s="47">
        <f>'II SEM C'!I18</f>
        <v>73.68421053</v>
      </c>
      <c r="G17" s="47">
        <f t="shared" si="2"/>
        <v>2</v>
      </c>
      <c r="H17" s="47">
        <f>'II SEM C'!L18</f>
        <v>84.61538462</v>
      </c>
      <c r="I17" s="47">
        <f t="shared" si="3"/>
        <v>3</v>
      </c>
      <c r="J17" s="47">
        <f>'II SEM C'!O18</f>
        <v>87.87878788</v>
      </c>
      <c r="K17" s="47">
        <f t="shared" si="4"/>
        <v>4</v>
      </c>
      <c r="L17" s="47">
        <f>'II SEM C'!R18</f>
        <v>83.78378378</v>
      </c>
      <c r="M17" s="47">
        <f t="shared" si="5"/>
        <v>3</v>
      </c>
      <c r="N17" s="47">
        <f>'II SEM C'!U18</f>
        <v>94.73684211</v>
      </c>
      <c r="O17" s="47">
        <f t="shared" si="6"/>
        <v>5</v>
      </c>
      <c r="P17" s="47">
        <f>'II SEM C'!X18</f>
        <v>72.22222222</v>
      </c>
      <c r="Q17" s="47">
        <f t="shared" si="7"/>
        <v>2</v>
      </c>
    </row>
    <row r="18" ht="15.75" customHeight="1">
      <c r="A18" s="23">
        <v>13.0</v>
      </c>
      <c r="B18" s="24" t="s">
        <v>44</v>
      </c>
      <c r="C18" s="25" t="s">
        <v>45</v>
      </c>
      <c r="D18" s="46">
        <f>'II SEM C'!F19</f>
        <v>78.57142857</v>
      </c>
      <c r="E18" s="47">
        <f t="shared" si="1"/>
        <v>2</v>
      </c>
      <c r="F18" s="47">
        <f>'II SEM C'!I19</f>
        <v>68.42105263</v>
      </c>
      <c r="G18" s="47">
        <f t="shared" si="2"/>
        <v>2</v>
      </c>
      <c r="H18" s="47">
        <f>'II SEM C'!L19</f>
        <v>84.61538462</v>
      </c>
      <c r="I18" s="47">
        <f t="shared" si="3"/>
        <v>3</v>
      </c>
      <c r="J18" s="47">
        <f>'II SEM C'!O19</f>
        <v>69.6969697</v>
      </c>
      <c r="K18" s="47">
        <f t="shared" si="4"/>
        <v>2</v>
      </c>
      <c r="L18" s="47">
        <f>'II SEM C'!R19</f>
        <v>78.37837838</v>
      </c>
      <c r="M18" s="47">
        <f t="shared" si="5"/>
        <v>2</v>
      </c>
      <c r="N18" s="47">
        <f>'II SEM C'!U19</f>
        <v>71.05263158</v>
      </c>
      <c r="O18" s="47">
        <f t="shared" si="6"/>
        <v>2</v>
      </c>
      <c r="P18" s="47">
        <f>'II SEM C'!X19</f>
        <v>77.77777778</v>
      </c>
      <c r="Q18" s="47">
        <f t="shared" si="7"/>
        <v>2</v>
      </c>
    </row>
    <row r="19" ht="15.75" customHeight="1">
      <c r="A19" s="23">
        <v>14.0</v>
      </c>
      <c r="B19" s="24" t="s">
        <v>46</v>
      </c>
      <c r="C19" s="25" t="s">
        <v>47</v>
      </c>
      <c r="D19" s="46">
        <f>'II SEM C'!F20</f>
        <v>85.71428571</v>
      </c>
      <c r="E19" s="47">
        <f t="shared" si="1"/>
        <v>4</v>
      </c>
      <c r="F19" s="47">
        <f>'II SEM C'!I20</f>
        <v>100</v>
      </c>
      <c r="G19" s="47">
        <f t="shared" si="2"/>
        <v>5</v>
      </c>
      <c r="H19" s="47">
        <f>'II SEM C'!L20</f>
        <v>96.15384615</v>
      </c>
      <c r="I19" s="47">
        <f t="shared" si="3"/>
        <v>5</v>
      </c>
      <c r="J19" s="47">
        <f>'II SEM C'!O20</f>
        <v>100</v>
      </c>
      <c r="K19" s="47">
        <f t="shared" si="4"/>
        <v>5</v>
      </c>
      <c r="L19" s="47">
        <f>'II SEM C'!R20</f>
        <v>100</v>
      </c>
      <c r="M19" s="47">
        <f t="shared" si="5"/>
        <v>5</v>
      </c>
      <c r="N19" s="47">
        <f>'II SEM C'!U20</f>
        <v>94.73684211</v>
      </c>
      <c r="O19" s="47">
        <f t="shared" si="6"/>
        <v>5</v>
      </c>
      <c r="P19" s="47">
        <f>'II SEM C'!X20</f>
        <v>88.88888889</v>
      </c>
      <c r="Q19" s="47">
        <f t="shared" si="7"/>
        <v>4</v>
      </c>
    </row>
    <row r="20" ht="15.75" customHeight="1">
      <c r="A20" s="23">
        <v>15.0</v>
      </c>
      <c r="B20" s="24" t="s">
        <v>48</v>
      </c>
      <c r="C20" s="25" t="s">
        <v>49</v>
      </c>
      <c r="D20" s="46">
        <f>'II SEM C'!F21</f>
        <v>46.42857143</v>
      </c>
      <c r="E20" s="47">
        <f t="shared" si="1"/>
        <v>2</v>
      </c>
      <c r="F20" s="47">
        <f>'II SEM C'!I21</f>
        <v>57.89473684</v>
      </c>
      <c r="G20" s="47">
        <f t="shared" si="2"/>
        <v>2</v>
      </c>
      <c r="H20" s="47">
        <f>'II SEM C'!L21</f>
        <v>73.07692308</v>
      </c>
      <c r="I20" s="47">
        <f t="shared" si="3"/>
        <v>2</v>
      </c>
      <c r="J20" s="47">
        <f>'II SEM C'!O21</f>
        <v>66.66666667</v>
      </c>
      <c r="K20" s="47">
        <f t="shared" si="4"/>
        <v>2</v>
      </c>
      <c r="L20" s="47">
        <f>'II SEM C'!R21</f>
        <v>51.35135135</v>
      </c>
      <c r="M20" s="47">
        <f t="shared" si="5"/>
        <v>2</v>
      </c>
      <c r="N20" s="47">
        <f>'II SEM C'!U21</f>
        <v>65.78947368</v>
      </c>
      <c r="O20" s="47">
        <f t="shared" si="6"/>
        <v>2</v>
      </c>
      <c r="P20" s="47">
        <f>'II SEM C'!X21</f>
        <v>61.11111111</v>
      </c>
      <c r="Q20" s="47">
        <f t="shared" si="7"/>
        <v>2</v>
      </c>
    </row>
    <row r="21" ht="15.75" customHeight="1">
      <c r="A21" s="23">
        <v>16.0</v>
      </c>
      <c r="B21" s="24" t="s">
        <v>50</v>
      </c>
      <c r="C21" s="25" t="s">
        <v>51</v>
      </c>
      <c r="D21" s="46">
        <f>'II SEM C'!F22</f>
        <v>42.85714286</v>
      </c>
      <c r="E21" s="47">
        <f t="shared" si="1"/>
        <v>2</v>
      </c>
      <c r="F21" s="47">
        <f>'II SEM C'!I22</f>
        <v>47.36842105</v>
      </c>
      <c r="G21" s="47">
        <f t="shared" si="2"/>
        <v>2</v>
      </c>
      <c r="H21" s="47">
        <f>'II SEM C'!L22</f>
        <v>53.84615385</v>
      </c>
      <c r="I21" s="47">
        <f t="shared" si="3"/>
        <v>2</v>
      </c>
      <c r="J21" s="47">
        <f>'II SEM C'!O22</f>
        <v>39.39393939</v>
      </c>
      <c r="K21" s="47">
        <f t="shared" si="4"/>
        <v>2</v>
      </c>
      <c r="L21" s="47">
        <f>'II SEM C'!R22</f>
        <v>45.94594595</v>
      </c>
      <c r="M21" s="47">
        <f t="shared" si="5"/>
        <v>2</v>
      </c>
      <c r="N21" s="47">
        <f>'II SEM C'!U22</f>
        <v>73.68421053</v>
      </c>
      <c r="O21" s="47">
        <f t="shared" si="6"/>
        <v>2</v>
      </c>
      <c r="P21" s="47">
        <f>'II SEM C'!X22</f>
        <v>50</v>
      </c>
      <c r="Q21" s="47">
        <f t="shared" si="7"/>
        <v>2</v>
      </c>
    </row>
    <row r="22" ht="15.75" customHeight="1">
      <c r="A22" s="23">
        <v>17.0</v>
      </c>
      <c r="B22" s="24" t="s">
        <v>52</v>
      </c>
      <c r="C22" s="25" t="s">
        <v>53</v>
      </c>
      <c r="D22" s="46">
        <f>'II SEM C'!F23</f>
        <v>75</v>
      </c>
      <c r="E22" s="47">
        <f t="shared" si="1"/>
        <v>2</v>
      </c>
      <c r="F22" s="47">
        <f>'II SEM C'!I23</f>
        <v>89.47368421</v>
      </c>
      <c r="G22" s="47">
        <f t="shared" si="2"/>
        <v>4</v>
      </c>
      <c r="H22" s="47">
        <f>'II SEM C'!L23</f>
        <v>88.46153846</v>
      </c>
      <c r="I22" s="47">
        <f t="shared" si="3"/>
        <v>4</v>
      </c>
      <c r="J22" s="47">
        <f>'II SEM C'!O23</f>
        <v>93.93939394</v>
      </c>
      <c r="K22" s="47">
        <f t="shared" si="4"/>
        <v>5</v>
      </c>
      <c r="L22" s="47">
        <f>'II SEM C'!R23</f>
        <v>81.08108108</v>
      </c>
      <c r="M22" s="47">
        <f t="shared" si="5"/>
        <v>3</v>
      </c>
      <c r="N22" s="47">
        <f>'II SEM C'!U23</f>
        <v>73.68421053</v>
      </c>
      <c r="O22" s="47">
        <f t="shared" si="6"/>
        <v>2</v>
      </c>
      <c r="P22" s="47">
        <f>'II SEM C'!X23</f>
        <v>83.33333333</v>
      </c>
      <c r="Q22" s="47">
        <f t="shared" si="7"/>
        <v>3</v>
      </c>
    </row>
    <row r="23" ht="15.75" customHeight="1">
      <c r="A23" s="23">
        <v>18.0</v>
      </c>
      <c r="B23" s="24" t="s">
        <v>54</v>
      </c>
      <c r="C23" s="25" t="s">
        <v>55</v>
      </c>
      <c r="D23" s="46">
        <f>'II SEM C'!F24</f>
        <v>82.14285714</v>
      </c>
      <c r="E23" s="47">
        <f t="shared" si="1"/>
        <v>3</v>
      </c>
      <c r="F23" s="47">
        <f>'II SEM C'!I24</f>
        <v>89.47368421</v>
      </c>
      <c r="G23" s="47">
        <f t="shared" si="2"/>
        <v>4</v>
      </c>
      <c r="H23" s="47">
        <f>'II SEM C'!L24</f>
        <v>100</v>
      </c>
      <c r="I23" s="47">
        <f t="shared" si="3"/>
        <v>5</v>
      </c>
      <c r="J23" s="47">
        <f>'II SEM C'!O24</f>
        <v>81.81818182</v>
      </c>
      <c r="K23" s="47">
        <f t="shared" si="4"/>
        <v>3</v>
      </c>
      <c r="L23" s="47">
        <f>'II SEM C'!R24</f>
        <v>86.48648649</v>
      </c>
      <c r="M23" s="47">
        <f t="shared" si="5"/>
        <v>4</v>
      </c>
      <c r="N23" s="47">
        <f>'II SEM C'!U24</f>
        <v>94.73684211</v>
      </c>
      <c r="O23" s="47">
        <f t="shared" si="6"/>
        <v>5</v>
      </c>
      <c r="P23" s="47">
        <f>'II SEM C'!X24</f>
        <v>88.88888889</v>
      </c>
      <c r="Q23" s="47">
        <f t="shared" si="7"/>
        <v>4</v>
      </c>
    </row>
    <row r="24" ht="15.75" customHeight="1">
      <c r="A24" s="23">
        <v>19.0</v>
      </c>
      <c r="B24" s="24" t="s">
        <v>56</v>
      </c>
      <c r="C24" s="25" t="s">
        <v>57</v>
      </c>
      <c r="D24" s="46">
        <f>'II SEM C'!F25</f>
        <v>82.14285714</v>
      </c>
      <c r="E24" s="47">
        <f t="shared" si="1"/>
        <v>3</v>
      </c>
      <c r="F24" s="47">
        <f>'II SEM C'!I25</f>
        <v>100</v>
      </c>
      <c r="G24" s="47">
        <f t="shared" si="2"/>
        <v>5</v>
      </c>
      <c r="H24" s="47">
        <f>'II SEM C'!L25</f>
        <v>92.30769231</v>
      </c>
      <c r="I24" s="47">
        <f t="shared" si="3"/>
        <v>5</v>
      </c>
      <c r="J24" s="47">
        <f>'II SEM C'!O25</f>
        <v>84.84848485</v>
      </c>
      <c r="K24" s="47">
        <f t="shared" si="4"/>
        <v>3</v>
      </c>
      <c r="L24" s="47">
        <f>'II SEM C'!R25</f>
        <v>72.97297297</v>
      </c>
      <c r="M24" s="47">
        <f t="shared" si="5"/>
        <v>2</v>
      </c>
      <c r="N24" s="47">
        <f>'II SEM C'!U25</f>
        <v>89.47368421</v>
      </c>
      <c r="O24" s="47">
        <f t="shared" si="6"/>
        <v>4</v>
      </c>
      <c r="P24" s="47">
        <f>'II SEM C'!X25</f>
        <v>94.44444444</v>
      </c>
      <c r="Q24" s="47">
        <f t="shared" si="7"/>
        <v>5</v>
      </c>
    </row>
    <row r="25" ht="15.75" customHeight="1">
      <c r="A25" s="23">
        <v>20.0</v>
      </c>
      <c r="B25" s="24" t="s">
        <v>58</v>
      </c>
      <c r="C25" s="25" t="s">
        <v>59</v>
      </c>
      <c r="D25" s="46">
        <f>'II SEM C'!F26</f>
        <v>71.42857143</v>
      </c>
      <c r="E25" s="47">
        <f t="shared" si="1"/>
        <v>2</v>
      </c>
      <c r="F25" s="47">
        <f>'II SEM C'!I26</f>
        <v>84.21052632</v>
      </c>
      <c r="G25" s="47">
        <f t="shared" si="2"/>
        <v>3</v>
      </c>
      <c r="H25" s="47">
        <f>'II SEM C'!L26</f>
        <v>53.84615385</v>
      </c>
      <c r="I25" s="47">
        <f t="shared" si="3"/>
        <v>2</v>
      </c>
      <c r="J25" s="47">
        <f>'II SEM C'!O26</f>
        <v>75.75757576</v>
      </c>
      <c r="K25" s="47">
        <f t="shared" si="4"/>
        <v>2</v>
      </c>
      <c r="L25" s="47">
        <f>'II SEM C'!R26</f>
        <v>70.27027027</v>
      </c>
      <c r="M25" s="47">
        <f t="shared" si="5"/>
        <v>2</v>
      </c>
      <c r="N25" s="47">
        <f>'II SEM C'!U26</f>
        <v>76.31578947</v>
      </c>
      <c r="O25" s="47">
        <f t="shared" si="6"/>
        <v>2</v>
      </c>
      <c r="P25" s="47">
        <f>'II SEM C'!X26</f>
        <v>61.11111111</v>
      </c>
      <c r="Q25" s="47">
        <f t="shared" si="7"/>
        <v>2</v>
      </c>
    </row>
    <row r="26" ht="15.75" customHeight="1">
      <c r="A26" s="23">
        <v>21.0</v>
      </c>
      <c r="B26" s="24" t="s">
        <v>60</v>
      </c>
      <c r="C26" s="25" t="s">
        <v>61</v>
      </c>
      <c r="D26" s="46">
        <f>'II SEM C'!F27</f>
        <v>78.57142857</v>
      </c>
      <c r="E26" s="47">
        <f t="shared" si="1"/>
        <v>2</v>
      </c>
      <c r="F26" s="47">
        <f>'II SEM C'!I27</f>
        <v>100</v>
      </c>
      <c r="G26" s="47">
        <f t="shared" si="2"/>
        <v>5</v>
      </c>
      <c r="H26" s="47">
        <f>'II SEM C'!L27</f>
        <v>96.15384615</v>
      </c>
      <c r="I26" s="47">
        <f t="shared" si="3"/>
        <v>5</v>
      </c>
      <c r="J26" s="47">
        <f>'II SEM C'!O27</f>
        <v>81.81818182</v>
      </c>
      <c r="K26" s="47">
        <f t="shared" si="4"/>
        <v>3</v>
      </c>
      <c r="L26" s="47">
        <f>'II SEM C'!R27</f>
        <v>78.37837838</v>
      </c>
      <c r="M26" s="47">
        <f t="shared" si="5"/>
        <v>2</v>
      </c>
      <c r="N26" s="47">
        <f>'II SEM C'!U27</f>
        <v>92.10526316</v>
      </c>
      <c r="O26" s="47">
        <f t="shared" si="6"/>
        <v>5</v>
      </c>
      <c r="P26" s="47">
        <f>'II SEM C'!X27</f>
        <v>77.77777778</v>
      </c>
      <c r="Q26" s="47">
        <f t="shared" si="7"/>
        <v>2</v>
      </c>
    </row>
    <row r="27" ht="15.75" customHeight="1">
      <c r="A27" s="23">
        <v>22.0</v>
      </c>
      <c r="B27" s="24" t="s">
        <v>62</v>
      </c>
      <c r="C27" s="25" t="s">
        <v>63</v>
      </c>
      <c r="D27" s="46">
        <f>'II SEM C'!F28</f>
        <v>82.14285714</v>
      </c>
      <c r="E27" s="47">
        <f t="shared" si="1"/>
        <v>3</v>
      </c>
      <c r="F27" s="47">
        <f>'II SEM C'!I28</f>
        <v>78.94736842</v>
      </c>
      <c r="G27" s="47">
        <f t="shared" si="2"/>
        <v>2</v>
      </c>
      <c r="H27" s="47">
        <f>'II SEM C'!L28</f>
        <v>76.92307692</v>
      </c>
      <c r="I27" s="47">
        <f t="shared" si="3"/>
        <v>2</v>
      </c>
      <c r="J27" s="47">
        <f>'II SEM C'!O28</f>
        <v>69.6969697</v>
      </c>
      <c r="K27" s="47">
        <f t="shared" si="4"/>
        <v>2</v>
      </c>
      <c r="L27" s="47">
        <f>'II SEM C'!R28</f>
        <v>78.37837838</v>
      </c>
      <c r="M27" s="47">
        <f t="shared" si="5"/>
        <v>2</v>
      </c>
      <c r="N27" s="47">
        <f>'II SEM C'!U28</f>
        <v>86.84210526</v>
      </c>
      <c r="O27" s="47">
        <f t="shared" si="6"/>
        <v>4</v>
      </c>
      <c r="P27" s="47">
        <f>'II SEM C'!X28</f>
        <v>83.33333333</v>
      </c>
      <c r="Q27" s="47">
        <f t="shared" si="7"/>
        <v>3</v>
      </c>
    </row>
    <row r="28" ht="15.75" customHeight="1">
      <c r="A28" s="23">
        <v>23.0</v>
      </c>
      <c r="B28" s="24" t="s">
        <v>64</v>
      </c>
      <c r="C28" s="25" t="s">
        <v>65</v>
      </c>
      <c r="D28" s="46">
        <f>'II SEM C'!F29</f>
        <v>60.71428571</v>
      </c>
      <c r="E28" s="47">
        <f t="shared" si="1"/>
        <v>2</v>
      </c>
      <c r="F28" s="47">
        <f>'II SEM C'!I29</f>
        <v>68.42105263</v>
      </c>
      <c r="G28" s="47">
        <f t="shared" si="2"/>
        <v>2</v>
      </c>
      <c r="H28" s="47">
        <f>'II SEM C'!L29</f>
        <v>61.53846154</v>
      </c>
      <c r="I28" s="47">
        <f t="shared" si="3"/>
        <v>2</v>
      </c>
      <c r="J28" s="47">
        <f>'II SEM C'!O29</f>
        <v>63.63636364</v>
      </c>
      <c r="K28" s="47">
        <f t="shared" si="4"/>
        <v>2</v>
      </c>
      <c r="L28" s="47">
        <f>'II SEM C'!R29</f>
        <v>45.94594595</v>
      </c>
      <c r="M28" s="47">
        <f t="shared" si="5"/>
        <v>2</v>
      </c>
      <c r="N28" s="47">
        <f>'II SEM C'!U29</f>
        <v>73.68421053</v>
      </c>
      <c r="O28" s="47">
        <f t="shared" si="6"/>
        <v>2</v>
      </c>
      <c r="P28" s="47">
        <f>'II SEM C'!X29</f>
        <v>72.22222222</v>
      </c>
      <c r="Q28" s="47">
        <f t="shared" si="7"/>
        <v>2</v>
      </c>
    </row>
    <row r="29" ht="15.75" customHeight="1">
      <c r="A29" s="23">
        <v>24.0</v>
      </c>
      <c r="B29" s="24" t="s">
        <v>66</v>
      </c>
      <c r="C29" s="25" t="s">
        <v>67</v>
      </c>
      <c r="D29" s="46">
        <f>'II SEM C'!F30</f>
        <v>67.85714286</v>
      </c>
      <c r="E29" s="47">
        <f t="shared" si="1"/>
        <v>2</v>
      </c>
      <c r="F29" s="47">
        <f>'II SEM C'!I30</f>
        <v>73.68421053</v>
      </c>
      <c r="G29" s="47">
        <f t="shared" si="2"/>
        <v>2</v>
      </c>
      <c r="H29" s="47">
        <f>'II SEM C'!L30</f>
        <v>73.07692308</v>
      </c>
      <c r="I29" s="47">
        <f t="shared" si="3"/>
        <v>2</v>
      </c>
      <c r="J29" s="47">
        <f>'II SEM C'!O30</f>
        <v>78.78787879</v>
      </c>
      <c r="K29" s="47">
        <f t="shared" si="4"/>
        <v>2</v>
      </c>
      <c r="L29" s="47">
        <f>'II SEM C'!R30</f>
        <v>64.86486486</v>
      </c>
      <c r="M29" s="47">
        <f t="shared" si="5"/>
        <v>2</v>
      </c>
      <c r="N29" s="47">
        <f>'II SEM C'!U30</f>
        <v>76.31578947</v>
      </c>
      <c r="O29" s="47">
        <f t="shared" si="6"/>
        <v>2</v>
      </c>
      <c r="P29" s="47">
        <f>'II SEM C'!X30</f>
        <v>77.77777778</v>
      </c>
      <c r="Q29" s="47">
        <f t="shared" si="7"/>
        <v>2</v>
      </c>
    </row>
    <row r="30" ht="15.75" customHeight="1">
      <c r="A30" s="23">
        <v>25.0</v>
      </c>
      <c r="B30" s="24" t="s">
        <v>68</v>
      </c>
      <c r="C30" s="25" t="s">
        <v>69</v>
      </c>
      <c r="D30" s="46">
        <f>'II SEM C'!F31</f>
        <v>53.57142857</v>
      </c>
      <c r="E30" s="47">
        <f t="shared" si="1"/>
        <v>2</v>
      </c>
      <c r="F30" s="47">
        <f>'II SEM C'!I31</f>
        <v>68.42105263</v>
      </c>
      <c r="G30" s="47">
        <f t="shared" si="2"/>
        <v>2</v>
      </c>
      <c r="H30" s="47">
        <f>'II SEM C'!L31</f>
        <v>84.61538462</v>
      </c>
      <c r="I30" s="47">
        <f t="shared" si="3"/>
        <v>3</v>
      </c>
      <c r="J30" s="47">
        <f>'II SEM C'!O31</f>
        <v>81.81818182</v>
      </c>
      <c r="K30" s="47">
        <f t="shared" si="4"/>
        <v>3</v>
      </c>
      <c r="L30" s="47">
        <f>'II SEM C'!R31</f>
        <v>48.64864865</v>
      </c>
      <c r="M30" s="47">
        <f t="shared" si="5"/>
        <v>2</v>
      </c>
      <c r="N30" s="47">
        <f>'II SEM C'!U31</f>
        <v>92.10526316</v>
      </c>
      <c r="O30" s="47">
        <f t="shared" si="6"/>
        <v>5</v>
      </c>
      <c r="P30" s="47">
        <f>'II SEM C'!X31</f>
        <v>83.33333333</v>
      </c>
      <c r="Q30" s="47">
        <f t="shared" si="7"/>
        <v>3</v>
      </c>
    </row>
    <row r="31" ht="15.75" customHeight="1">
      <c r="A31" s="23">
        <v>26.0</v>
      </c>
      <c r="B31" s="24" t="s">
        <v>70</v>
      </c>
      <c r="C31" s="25" t="s">
        <v>71</v>
      </c>
      <c r="D31" s="46">
        <f>'II SEM C'!F32</f>
        <v>75</v>
      </c>
      <c r="E31" s="47">
        <f t="shared" si="1"/>
        <v>2</v>
      </c>
      <c r="F31" s="47">
        <f>'II SEM C'!I32</f>
        <v>94.73684211</v>
      </c>
      <c r="G31" s="47">
        <f t="shared" si="2"/>
        <v>5</v>
      </c>
      <c r="H31" s="47">
        <f>'II SEM C'!L32</f>
        <v>88.46153846</v>
      </c>
      <c r="I31" s="47">
        <f t="shared" si="3"/>
        <v>4</v>
      </c>
      <c r="J31" s="47">
        <f>'II SEM C'!O32</f>
        <v>78.78787879</v>
      </c>
      <c r="K31" s="47">
        <f t="shared" si="4"/>
        <v>2</v>
      </c>
      <c r="L31" s="47">
        <f>'II SEM C'!R32</f>
        <v>72.97297297</v>
      </c>
      <c r="M31" s="47">
        <f t="shared" si="5"/>
        <v>2</v>
      </c>
      <c r="N31" s="47">
        <f>'II SEM C'!U32</f>
        <v>78.94736842</v>
      </c>
      <c r="O31" s="47">
        <f t="shared" si="6"/>
        <v>2</v>
      </c>
      <c r="P31" s="47">
        <f>'II SEM C'!X32</f>
        <v>77.77777778</v>
      </c>
      <c r="Q31" s="47">
        <f t="shared" si="7"/>
        <v>2</v>
      </c>
    </row>
    <row r="32" ht="15.75" customHeight="1">
      <c r="A32" s="23">
        <v>27.0</v>
      </c>
      <c r="B32" s="24" t="s">
        <v>72</v>
      </c>
      <c r="C32" s="25" t="s">
        <v>73</v>
      </c>
      <c r="D32" s="46">
        <f>'II SEM C'!F33</f>
        <v>75</v>
      </c>
      <c r="E32" s="47">
        <f t="shared" si="1"/>
        <v>2</v>
      </c>
      <c r="F32" s="47">
        <f>'II SEM C'!I33</f>
        <v>78.94736842</v>
      </c>
      <c r="G32" s="47">
        <f t="shared" si="2"/>
        <v>2</v>
      </c>
      <c r="H32" s="47">
        <f>'II SEM C'!L33</f>
        <v>92.30769231</v>
      </c>
      <c r="I32" s="47">
        <f t="shared" si="3"/>
        <v>5</v>
      </c>
      <c r="J32" s="47">
        <f>'II SEM C'!O33</f>
        <v>93.93939394</v>
      </c>
      <c r="K32" s="47">
        <f t="shared" si="4"/>
        <v>5</v>
      </c>
      <c r="L32" s="47">
        <f>'II SEM C'!R33</f>
        <v>89.18918919</v>
      </c>
      <c r="M32" s="47">
        <f t="shared" si="5"/>
        <v>4</v>
      </c>
      <c r="N32" s="47">
        <f>'II SEM C'!U33</f>
        <v>97.36842105</v>
      </c>
      <c r="O32" s="47">
        <f t="shared" si="6"/>
        <v>5</v>
      </c>
      <c r="P32" s="47">
        <f>'II SEM C'!X33</f>
        <v>77.77777778</v>
      </c>
      <c r="Q32" s="47">
        <f t="shared" si="7"/>
        <v>2</v>
      </c>
    </row>
    <row r="33" ht="15.75" customHeight="1">
      <c r="A33" s="23">
        <v>28.0</v>
      </c>
      <c r="B33" s="24" t="s">
        <v>74</v>
      </c>
      <c r="C33" s="25" t="s">
        <v>75</v>
      </c>
      <c r="D33" s="46">
        <f>'II SEM C'!F34</f>
        <v>78.57142857</v>
      </c>
      <c r="E33" s="47">
        <f t="shared" si="1"/>
        <v>2</v>
      </c>
      <c r="F33" s="47">
        <f>'II SEM C'!I34</f>
        <v>94.73684211</v>
      </c>
      <c r="G33" s="47">
        <f t="shared" si="2"/>
        <v>5</v>
      </c>
      <c r="H33" s="47">
        <f>'II SEM C'!L34</f>
        <v>100</v>
      </c>
      <c r="I33" s="47">
        <f t="shared" si="3"/>
        <v>5</v>
      </c>
      <c r="J33" s="47">
        <f>'II SEM C'!O34</f>
        <v>96.96969697</v>
      </c>
      <c r="K33" s="47">
        <f t="shared" si="4"/>
        <v>5</v>
      </c>
      <c r="L33" s="47">
        <f>'II SEM C'!R34</f>
        <v>86.48648649</v>
      </c>
      <c r="M33" s="47">
        <f t="shared" si="5"/>
        <v>4</v>
      </c>
      <c r="N33" s="47">
        <f>'II SEM C'!U34</f>
        <v>100</v>
      </c>
      <c r="O33" s="47">
        <f t="shared" si="6"/>
        <v>5</v>
      </c>
      <c r="P33" s="47">
        <f>'II SEM C'!X34</f>
        <v>83.33333333</v>
      </c>
      <c r="Q33" s="47">
        <f t="shared" si="7"/>
        <v>3</v>
      </c>
    </row>
    <row r="34" ht="15.75" customHeight="1">
      <c r="A34" s="23">
        <v>29.0</v>
      </c>
      <c r="B34" s="24" t="s">
        <v>76</v>
      </c>
      <c r="C34" s="25" t="s">
        <v>77</v>
      </c>
      <c r="D34" s="46">
        <f>'II SEM C'!F35</f>
        <v>57.14285714</v>
      </c>
      <c r="E34" s="47">
        <f t="shared" si="1"/>
        <v>2</v>
      </c>
      <c r="F34" s="47">
        <f>'II SEM C'!I35</f>
        <v>78.94736842</v>
      </c>
      <c r="G34" s="47">
        <f t="shared" si="2"/>
        <v>2</v>
      </c>
      <c r="H34" s="47">
        <f>'II SEM C'!L35</f>
        <v>80.76923077</v>
      </c>
      <c r="I34" s="47">
        <f t="shared" si="3"/>
        <v>3</v>
      </c>
      <c r="J34" s="47">
        <f>'II SEM C'!O35</f>
        <v>78.78787879</v>
      </c>
      <c r="K34" s="47">
        <f t="shared" si="4"/>
        <v>2</v>
      </c>
      <c r="L34" s="47">
        <f>'II SEM C'!R35</f>
        <v>70.27027027</v>
      </c>
      <c r="M34" s="47">
        <f t="shared" si="5"/>
        <v>2</v>
      </c>
      <c r="N34" s="47">
        <f>'II SEM C'!U35</f>
        <v>57.89473684</v>
      </c>
      <c r="O34" s="47">
        <f t="shared" si="6"/>
        <v>2</v>
      </c>
      <c r="P34" s="47">
        <f>'II SEM C'!X35</f>
        <v>83.33333333</v>
      </c>
      <c r="Q34" s="47">
        <f t="shared" si="7"/>
        <v>3</v>
      </c>
    </row>
    <row r="35" ht="15.75" customHeight="1">
      <c r="A35" s="23">
        <v>30.0</v>
      </c>
      <c r="B35" s="24" t="s">
        <v>78</v>
      </c>
      <c r="C35" s="25" t="s">
        <v>79</v>
      </c>
      <c r="D35" s="46">
        <f>'II SEM C'!F36</f>
        <v>67.85714286</v>
      </c>
      <c r="E35" s="47">
        <f t="shared" si="1"/>
        <v>2</v>
      </c>
      <c r="F35" s="47">
        <f>'II SEM C'!I36</f>
        <v>84.21052632</v>
      </c>
      <c r="G35" s="47">
        <f t="shared" si="2"/>
        <v>3</v>
      </c>
      <c r="H35" s="47">
        <f>'II SEM C'!L36</f>
        <v>92.30769231</v>
      </c>
      <c r="I35" s="47">
        <f t="shared" si="3"/>
        <v>5</v>
      </c>
      <c r="J35" s="47">
        <f>'II SEM C'!O36</f>
        <v>87.87878788</v>
      </c>
      <c r="K35" s="47">
        <f t="shared" si="4"/>
        <v>4</v>
      </c>
      <c r="L35" s="47">
        <f>'II SEM C'!R36</f>
        <v>83.78378378</v>
      </c>
      <c r="M35" s="47">
        <f t="shared" si="5"/>
        <v>3</v>
      </c>
      <c r="N35" s="47">
        <f>'II SEM C'!U36</f>
        <v>84.21052632</v>
      </c>
      <c r="O35" s="47">
        <f t="shared" si="6"/>
        <v>3</v>
      </c>
      <c r="P35" s="47">
        <f>'II SEM C'!X36</f>
        <v>94.44444444</v>
      </c>
      <c r="Q35" s="47">
        <f t="shared" si="7"/>
        <v>5</v>
      </c>
    </row>
    <row r="36" ht="15.75" customHeight="1">
      <c r="A36" s="23">
        <v>31.0</v>
      </c>
      <c r="B36" s="24" t="s">
        <v>80</v>
      </c>
      <c r="C36" s="25" t="s">
        <v>81</v>
      </c>
      <c r="D36" s="46">
        <f>'II SEM C'!F37</f>
        <v>60.71428571</v>
      </c>
      <c r="E36" s="47">
        <f t="shared" si="1"/>
        <v>2</v>
      </c>
      <c r="F36" s="47">
        <f>'II SEM C'!I37</f>
        <v>89.47368421</v>
      </c>
      <c r="G36" s="47">
        <f t="shared" si="2"/>
        <v>4</v>
      </c>
      <c r="H36" s="47">
        <f>'II SEM C'!L37</f>
        <v>92.30769231</v>
      </c>
      <c r="I36" s="47">
        <f t="shared" si="3"/>
        <v>5</v>
      </c>
      <c r="J36" s="47">
        <f>'II SEM C'!O37</f>
        <v>87.87878788</v>
      </c>
      <c r="K36" s="47">
        <f t="shared" si="4"/>
        <v>4</v>
      </c>
      <c r="L36" s="47">
        <f>'II SEM C'!R37</f>
        <v>81.08108108</v>
      </c>
      <c r="M36" s="47">
        <f t="shared" si="5"/>
        <v>3</v>
      </c>
      <c r="N36" s="47">
        <f>'II SEM C'!U37</f>
        <v>97.36842105</v>
      </c>
      <c r="O36" s="47">
        <f t="shared" si="6"/>
        <v>5</v>
      </c>
      <c r="P36" s="47">
        <f>'II SEM C'!X37</f>
        <v>88.88888889</v>
      </c>
      <c r="Q36" s="47">
        <f t="shared" si="7"/>
        <v>4</v>
      </c>
    </row>
    <row r="37" ht="15.75" customHeight="1">
      <c r="A37" s="23">
        <v>32.0</v>
      </c>
      <c r="B37" s="24" t="s">
        <v>82</v>
      </c>
      <c r="C37" s="25" t="s">
        <v>83</v>
      </c>
      <c r="D37" s="46">
        <f>'II SEM C'!F38</f>
        <v>71.42857143</v>
      </c>
      <c r="E37" s="47">
        <f t="shared" si="1"/>
        <v>2</v>
      </c>
      <c r="F37" s="47">
        <f>'II SEM C'!I38</f>
        <v>84.21052632</v>
      </c>
      <c r="G37" s="47">
        <f t="shared" si="2"/>
        <v>3</v>
      </c>
      <c r="H37" s="47">
        <f>'II SEM C'!L38</f>
        <v>88.46153846</v>
      </c>
      <c r="I37" s="47">
        <f t="shared" si="3"/>
        <v>4</v>
      </c>
      <c r="J37" s="47">
        <f>'II SEM C'!O38</f>
        <v>84.84848485</v>
      </c>
      <c r="K37" s="47">
        <f t="shared" si="4"/>
        <v>3</v>
      </c>
      <c r="L37" s="47">
        <f>'II SEM C'!R38</f>
        <v>83.78378378</v>
      </c>
      <c r="M37" s="47">
        <f t="shared" si="5"/>
        <v>3</v>
      </c>
      <c r="N37" s="47">
        <f>'II SEM C'!U38</f>
        <v>86.84210526</v>
      </c>
      <c r="O37" s="47">
        <f t="shared" si="6"/>
        <v>4</v>
      </c>
      <c r="P37" s="47">
        <f>'II SEM C'!X38</f>
        <v>88.88888889</v>
      </c>
      <c r="Q37" s="47">
        <f t="shared" si="7"/>
        <v>4</v>
      </c>
    </row>
    <row r="38" ht="15.75" customHeight="1">
      <c r="A38" s="23">
        <v>33.0</v>
      </c>
      <c r="B38" s="24" t="s">
        <v>84</v>
      </c>
      <c r="C38" s="25" t="s">
        <v>85</v>
      </c>
      <c r="D38" s="46">
        <f>'II SEM C'!F39</f>
        <v>82.14285714</v>
      </c>
      <c r="E38" s="47">
        <f t="shared" si="1"/>
        <v>3</v>
      </c>
      <c r="F38" s="47">
        <f>'II SEM C'!I39</f>
        <v>78.94736842</v>
      </c>
      <c r="G38" s="47">
        <f t="shared" si="2"/>
        <v>2</v>
      </c>
      <c r="H38" s="47">
        <f>'II SEM C'!L39</f>
        <v>69.23076923</v>
      </c>
      <c r="I38" s="47">
        <f t="shared" si="3"/>
        <v>2</v>
      </c>
      <c r="J38" s="47">
        <f>'II SEM C'!O39</f>
        <v>81.81818182</v>
      </c>
      <c r="K38" s="47">
        <f t="shared" si="4"/>
        <v>3</v>
      </c>
      <c r="L38" s="47">
        <f>'II SEM C'!R39</f>
        <v>78.37837838</v>
      </c>
      <c r="M38" s="47">
        <f t="shared" si="5"/>
        <v>2</v>
      </c>
      <c r="N38" s="47">
        <f>'II SEM C'!U39</f>
        <v>86.84210526</v>
      </c>
      <c r="O38" s="47">
        <f t="shared" si="6"/>
        <v>4</v>
      </c>
      <c r="P38" s="47">
        <f>'II SEM C'!X39</f>
        <v>100</v>
      </c>
      <c r="Q38" s="47">
        <f t="shared" si="7"/>
        <v>5</v>
      </c>
    </row>
    <row r="39" ht="15.75" customHeight="1">
      <c r="A39" s="23">
        <v>34.0</v>
      </c>
      <c r="B39" s="24" t="s">
        <v>86</v>
      </c>
      <c r="C39" s="25" t="s">
        <v>87</v>
      </c>
      <c r="D39" s="46">
        <f>'II SEM C'!F40</f>
        <v>85.71428571</v>
      </c>
      <c r="E39" s="47">
        <f t="shared" si="1"/>
        <v>4</v>
      </c>
      <c r="F39" s="47">
        <f>'II SEM C'!I40</f>
        <v>78.94736842</v>
      </c>
      <c r="G39" s="47">
        <f t="shared" si="2"/>
        <v>2</v>
      </c>
      <c r="H39" s="47">
        <f>'II SEM C'!L40</f>
        <v>80.76923077</v>
      </c>
      <c r="I39" s="47">
        <f t="shared" si="3"/>
        <v>3</v>
      </c>
      <c r="J39" s="47">
        <f>'II SEM C'!O40</f>
        <v>84.84848485</v>
      </c>
      <c r="K39" s="47">
        <f t="shared" si="4"/>
        <v>3</v>
      </c>
      <c r="L39" s="47">
        <f>'II SEM C'!R40</f>
        <v>86.48648649</v>
      </c>
      <c r="M39" s="47">
        <f t="shared" si="5"/>
        <v>4</v>
      </c>
      <c r="N39" s="47">
        <f>'II SEM C'!U40</f>
        <v>86.84210526</v>
      </c>
      <c r="O39" s="47">
        <f t="shared" si="6"/>
        <v>4</v>
      </c>
      <c r="P39" s="47">
        <f>'II SEM C'!X40</f>
        <v>100</v>
      </c>
      <c r="Q39" s="47">
        <f t="shared" si="7"/>
        <v>5</v>
      </c>
    </row>
    <row r="40" ht="15.75" customHeight="1">
      <c r="A40" s="23">
        <v>35.0</v>
      </c>
      <c r="B40" s="24" t="s">
        <v>88</v>
      </c>
      <c r="C40" s="25" t="s">
        <v>89</v>
      </c>
      <c r="D40" s="46">
        <f>'II SEM C'!F41</f>
        <v>67.85714286</v>
      </c>
      <c r="E40" s="47">
        <f t="shared" si="1"/>
        <v>2</v>
      </c>
      <c r="F40" s="47">
        <f>'II SEM C'!I41</f>
        <v>78.94736842</v>
      </c>
      <c r="G40" s="47">
        <f t="shared" si="2"/>
        <v>2</v>
      </c>
      <c r="H40" s="47">
        <f>'II SEM C'!L41</f>
        <v>96.15384615</v>
      </c>
      <c r="I40" s="47">
        <f t="shared" si="3"/>
        <v>5</v>
      </c>
      <c r="J40" s="47">
        <f>'II SEM C'!O41</f>
        <v>84.84848485</v>
      </c>
      <c r="K40" s="47">
        <f t="shared" si="4"/>
        <v>3</v>
      </c>
      <c r="L40" s="47">
        <f>'II SEM C'!R41</f>
        <v>86.48648649</v>
      </c>
      <c r="M40" s="47">
        <f t="shared" si="5"/>
        <v>4</v>
      </c>
      <c r="N40" s="47">
        <f>'II SEM C'!U41</f>
        <v>94.73684211</v>
      </c>
      <c r="O40" s="47">
        <f t="shared" si="6"/>
        <v>5</v>
      </c>
      <c r="P40" s="47">
        <f>'II SEM C'!X41</f>
        <v>83.33333333</v>
      </c>
      <c r="Q40" s="47">
        <f t="shared" si="7"/>
        <v>3</v>
      </c>
    </row>
    <row r="41" ht="15.75" customHeight="1">
      <c r="A41" s="23">
        <v>36.0</v>
      </c>
      <c r="B41" s="24" t="s">
        <v>90</v>
      </c>
      <c r="C41" s="25" t="s">
        <v>91</v>
      </c>
      <c r="D41" s="46">
        <f>'II SEM C'!F42</f>
        <v>57.14285714</v>
      </c>
      <c r="E41" s="47">
        <f t="shared" si="1"/>
        <v>2</v>
      </c>
      <c r="F41" s="47">
        <f>'II SEM C'!I42</f>
        <v>78.94736842</v>
      </c>
      <c r="G41" s="47">
        <f t="shared" si="2"/>
        <v>2</v>
      </c>
      <c r="H41" s="47">
        <f>'II SEM C'!L42</f>
        <v>46.15384615</v>
      </c>
      <c r="I41" s="47">
        <f t="shared" si="3"/>
        <v>2</v>
      </c>
      <c r="J41" s="47">
        <f>'II SEM C'!O42</f>
        <v>36.36363636</v>
      </c>
      <c r="K41" s="47">
        <f t="shared" si="4"/>
        <v>2</v>
      </c>
      <c r="L41" s="47">
        <f>'II SEM C'!R42</f>
        <v>59.45945946</v>
      </c>
      <c r="M41" s="47">
        <f t="shared" si="5"/>
        <v>2</v>
      </c>
      <c r="N41" s="47">
        <f>'II SEM C'!U42</f>
        <v>76.31578947</v>
      </c>
      <c r="O41" s="47">
        <f t="shared" si="6"/>
        <v>2</v>
      </c>
      <c r="P41" s="47">
        <f>'II SEM C'!X42</f>
        <v>83.33333333</v>
      </c>
      <c r="Q41" s="47">
        <f t="shared" si="7"/>
        <v>3</v>
      </c>
    </row>
    <row r="42" ht="15.75" customHeight="1">
      <c r="A42" s="23">
        <v>37.0</v>
      </c>
      <c r="B42" s="24" t="s">
        <v>92</v>
      </c>
      <c r="C42" s="25" t="s">
        <v>93</v>
      </c>
      <c r="D42" s="46">
        <f>'II SEM C'!F43</f>
        <v>57.14285714</v>
      </c>
      <c r="E42" s="47">
        <f t="shared" si="1"/>
        <v>2</v>
      </c>
      <c r="F42" s="47">
        <f>'II SEM C'!I43</f>
        <v>73.68421053</v>
      </c>
      <c r="G42" s="47">
        <f t="shared" si="2"/>
        <v>2</v>
      </c>
      <c r="H42" s="47">
        <f>'II SEM C'!L43</f>
        <v>96.15384615</v>
      </c>
      <c r="I42" s="47">
        <f t="shared" si="3"/>
        <v>5</v>
      </c>
      <c r="J42" s="47">
        <f>'II SEM C'!O43</f>
        <v>84.84848485</v>
      </c>
      <c r="K42" s="47">
        <f t="shared" si="4"/>
        <v>3</v>
      </c>
      <c r="L42" s="47">
        <f>'II SEM C'!R43</f>
        <v>75.67567568</v>
      </c>
      <c r="M42" s="47">
        <f t="shared" si="5"/>
        <v>2</v>
      </c>
      <c r="N42" s="47">
        <f>'II SEM C'!U43</f>
        <v>81.57894737</v>
      </c>
      <c r="O42" s="47">
        <f t="shared" si="6"/>
        <v>3</v>
      </c>
      <c r="P42" s="47">
        <f>'II SEM C'!X43</f>
        <v>94.44444444</v>
      </c>
      <c r="Q42" s="47">
        <f t="shared" si="7"/>
        <v>5</v>
      </c>
    </row>
    <row r="43" ht="15.75" customHeight="1">
      <c r="A43" s="23">
        <v>38.0</v>
      </c>
      <c r="B43" s="24" t="s">
        <v>94</v>
      </c>
      <c r="C43" s="25" t="s">
        <v>126</v>
      </c>
      <c r="D43" s="46">
        <f>'II SEM C'!F44</f>
        <v>71.42857143</v>
      </c>
      <c r="E43" s="47">
        <f t="shared" si="1"/>
        <v>2</v>
      </c>
      <c r="F43" s="47">
        <f>'II SEM C'!I44</f>
        <v>73.68421053</v>
      </c>
      <c r="G43" s="47">
        <f t="shared" si="2"/>
        <v>2</v>
      </c>
      <c r="H43" s="47">
        <f>'II SEM C'!L44</f>
        <v>69.23076923</v>
      </c>
      <c r="I43" s="47">
        <f t="shared" si="3"/>
        <v>2</v>
      </c>
      <c r="J43" s="47">
        <f>'II SEM C'!O44</f>
        <v>72.72727273</v>
      </c>
      <c r="K43" s="47">
        <f t="shared" si="4"/>
        <v>2</v>
      </c>
      <c r="L43" s="47">
        <f>'II SEM C'!R44</f>
        <v>64.86486486</v>
      </c>
      <c r="M43" s="47">
        <f t="shared" si="5"/>
        <v>2</v>
      </c>
      <c r="N43" s="47">
        <f>'II SEM C'!U44</f>
        <v>84.21052632</v>
      </c>
      <c r="O43" s="47">
        <f t="shared" si="6"/>
        <v>3</v>
      </c>
      <c r="P43" s="47">
        <f>'II SEM C'!X44</f>
        <v>88.88888889</v>
      </c>
      <c r="Q43" s="47">
        <f t="shared" si="7"/>
        <v>4</v>
      </c>
    </row>
    <row r="44" ht="15.75" customHeight="1">
      <c r="A44" s="23">
        <v>39.0</v>
      </c>
      <c r="B44" s="24" t="s">
        <v>96</v>
      </c>
      <c r="C44" s="25" t="s">
        <v>127</v>
      </c>
      <c r="D44" s="46">
        <f>'II SEM C'!F45</f>
        <v>67.85714286</v>
      </c>
      <c r="E44" s="47">
        <f t="shared" si="1"/>
        <v>2</v>
      </c>
      <c r="F44" s="47">
        <f>'II SEM C'!I45</f>
        <v>73.68421053</v>
      </c>
      <c r="G44" s="47">
        <f t="shared" si="2"/>
        <v>2</v>
      </c>
      <c r="H44" s="47">
        <f>'II SEM C'!L45</f>
        <v>88.46153846</v>
      </c>
      <c r="I44" s="47">
        <f t="shared" si="3"/>
        <v>4</v>
      </c>
      <c r="J44" s="47">
        <f>'II SEM C'!O45</f>
        <v>93.93939394</v>
      </c>
      <c r="K44" s="47">
        <f t="shared" si="4"/>
        <v>5</v>
      </c>
      <c r="L44" s="47">
        <f>'II SEM C'!R45</f>
        <v>94.59459459</v>
      </c>
      <c r="M44" s="47">
        <f t="shared" si="5"/>
        <v>5</v>
      </c>
      <c r="N44" s="47">
        <f>'II SEM C'!U45</f>
        <v>92.10526316</v>
      </c>
      <c r="O44" s="47">
        <f t="shared" si="6"/>
        <v>5</v>
      </c>
      <c r="P44" s="47">
        <f>'II SEM C'!X45</f>
        <v>66.66666667</v>
      </c>
      <c r="Q44" s="47">
        <f t="shared" si="7"/>
        <v>2</v>
      </c>
    </row>
    <row r="45" ht="15.75" customHeight="1">
      <c r="A45" s="23">
        <v>40.0</v>
      </c>
      <c r="B45" s="24" t="s">
        <v>98</v>
      </c>
      <c r="C45" s="25" t="s">
        <v>128</v>
      </c>
      <c r="D45" s="46">
        <f>'II SEM C'!F46</f>
        <v>75</v>
      </c>
      <c r="E45" s="47">
        <f t="shared" si="1"/>
        <v>2</v>
      </c>
      <c r="F45" s="47">
        <f>'II SEM C'!I46</f>
        <v>94.73684211</v>
      </c>
      <c r="G45" s="47">
        <f t="shared" si="2"/>
        <v>5</v>
      </c>
      <c r="H45" s="47">
        <f>'II SEM C'!L46</f>
        <v>96.15384615</v>
      </c>
      <c r="I45" s="47">
        <f t="shared" si="3"/>
        <v>5</v>
      </c>
      <c r="J45" s="47">
        <f>'II SEM C'!O46</f>
        <v>100</v>
      </c>
      <c r="K45" s="47">
        <f t="shared" si="4"/>
        <v>5</v>
      </c>
      <c r="L45" s="47">
        <f>'II SEM C'!R46</f>
        <v>91.89189189</v>
      </c>
      <c r="M45" s="47">
        <f t="shared" si="5"/>
        <v>5</v>
      </c>
      <c r="N45" s="47">
        <f>'II SEM C'!U46</f>
        <v>100</v>
      </c>
      <c r="O45" s="47">
        <f t="shared" si="6"/>
        <v>5</v>
      </c>
      <c r="P45" s="47">
        <f>'II SEM C'!X46</f>
        <v>83.33333333</v>
      </c>
      <c r="Q45" s="47">
        <f t="shared" si="7"/>
        <v>3</v>
      </c>
    </row>
    <row r="46" ht="15.75" customHeight="1">
      <c r="A46" s="23">
        <v>41.0</v>
      </c>
      <c r="B46" s="24" t="s">
        <v>100</v>
      </c>
      <c r="C46" s="25" t="s">
        <v>129</v>
      </c>
      <c r="D46" s="46">
        <f>'II SEM C'!F47</f>
        <v>75</v>
      </c>
      <c r="E46" s="47">
        <f t="shared" si="1"/>
        <v>2</v>
      </c>
      <c r="F46" s="47">
        <f>'II SEM C'!I47</f>
        <v>89.47368421</v>
      </c>
      <c r="G46" s="47">
        <f t="shared" si="2"/>
        <v>4</v>
      </c>
      <c r="H46" s="47">
        <f>'II SEM C'!L47</f>
        <v>96.15384615</v>
      </c>
      <c r="I46" s="47">
        <f t="shared" si="3"/>
        <v>5</v>
      </c>
      <c r="J46" s="47">
        <f>'II SEM C'!O47</f>
        <v>96.96969697</v>
      </c>
      <c r="K46" s="47">
        <f t="shared" si="4"/>
        <v>5</v>
      </c>
      <c r="L46" s="47">
        <f>'II SEM C'!R47</f>
        <v>94.59459459</v>
      </c>
      <c r="M46" s="47">
        <f t="shared" si="5"/>
        <v>5</v>
      </c>
      <c r="N46" s="47">
        <f>'II SEM C'!U47</f>
        <v>100</v>
      </c>
      <c r="O46" s="47">
        <f t="shared" si="6"/>
        <v>5</v>
      </c>
      <c r="P46" s="47">
        <f>'II SEM C'!X47</f>
        <v>88.88888889</v>
      </c>
      <c r="Q46" s="47">
        <f t="shared" si="7"/>
        <v>4</v>
      </c>
    </row>
    <row r="47" ht="15.75" customHeight="1">
      <c r="A47" s="23">
        <v>42.0</v>
      </c>
      <c r="B47" s="24" t="s">
        <v>102</v>
      </c>
      <c r="C47" s="25" t="s">
        <v>130</v>
      </c>
      <c r="D47" s="46">
        <f>'II SEM C'!F48</f>
        <v>71.42857143</v>
      </c>
      <c r="E47" s="47">
        <f t="shared" si="1"/>
        <v>2</v>
      </c>
      <c r="F47" s="47">
        <f>'II SEM C'!I48</f>
        <v>68.42105263</v>
      </c>
      <c r="G47" s="47">
        <f t="shared" si="2"/>
        <v>2</v>
      </c>
      <c r="H47" s="47">
        <f>'II SEM C'!L48</f>
        <v>88.46153846</v>
      </c>
      <c r="I47" s="47">
        <f t="shared" si="3"/>
        <v>4</v>
      </c>
      <c r="J47" s="47">
        <f>'II SEM C'!O48</f>
        <v>72.72727273</v>
      </c>
      <c r="K47" s="47">
        <f t="shared" si="4"/>
        <v>2</v>
      </c>
      <c r="L47" s="47">
        <f>'II SEM C'!R48</f>
        <v>70.27027027</v>
      </c>
      <c r="M47" s="47">
        <f t="shared" si="5"/>
        <v>2</v>
      </c>
      <c r="N47" s="47">
        <f>'II SEM C'!U48</f>
        <v>92.10526316</v>
      </c>
      <c r="O47" s="47">
        <f t="shared" si="6"/>
        <v>5</v>
      </c>
      <c r="P47" s="47">
        <f>'II SEM C'!X48</f>
        <v>72.22222222</v>
      </c>
      <c r="Q47" s="47">
        <f t="shared" si="7"/>
        <v>2</v>
      </c>
    </row>
    <row r="48" ht="15.75" customHeight="1">
      <c r="A48" s="23">
        <v>43.0</v>
      </c>
      <c r="B48" s="24" t="s">
        <v>104</v>
      </c>
      <c r="C48" s="25" t="s">
        <v>131</v>
      </c>
      <c r="D48" s="46">
        <f>'II SEM C'!F49</f>
        <v>75</v>
      </c>
      <c r="E48" s="47">
        <f t="shared" si="1"/>
        <v>2</v>
      </c>
      <c r="F48" s="47">
        <f>'II SEM C'!I49</f>
        <v>89.47368421</v>
      </c>
      <c r="G48" s="47">
        <f t="shared" si="2"/>
        <v>4</v>
      </c>
      <c r="H48" s="47">
        <f>'II SEM C'!L49</f>
        <v>96.15384615</v>
      </c>
      <c r="I48" s="47">
        <f t="shared" si="3"/>
        <v>5</v>
      </c>
      <c r="J48" s="47">
        <f>'II SEM C'!O49</f>
        <v>96.96969697</v>
      </c>
      <c r="K48" s="47">
        <f t="shared" si="4"/>
        <v>5</v>
      </c>
      <c r="L48" s="47">
        <f>'II SEM C'!R49</f>
        <v>94.59459459</v>
      </c>
      <c r="M48" s="47">
        <f t="shared" si="5"/>
        <v>5</v>
      </c>
      <c r="N48" s="47">
        <f>'II SEM C'!U49</f>
        <v>92.10526316</v>
      </c>
      <c r="O48" s="47">
        <f t="shared" si="6"/>
        <v>5</v>
      </c>
      <c r="P48" s="47">
        <f>'II SEM C'!X49</f>
        <v>88.88888889</v>
      </c>
      <c r="Q48" s="47">
        <f t="shared" si="7"/>
        <v>4</v>
      </c>
    </row>
    <row r="49" ht="15.75" customHeight="1">
      <c r="A49" s="23">
        <v>44.0</v>
      </c>
      <c r="B49" s="24" t="s">
        <v>106</v>
      </c>
      <c r="C49" s="25" t="s">
        <v>132</v>
      </c>
      <c r="D49" s="46">
        <f>'II SEM C'!F50</f>
        <v>78.57142857</v>
      </c>
      <c r="E49" s="47">
        <f t="shared" si="1"/>
        <v>2</v>
      </c>
      <c r="F49" s="47">
        <f>'II SEM C'!I50</f>
        <v>68.42105263</v>
      </c>
      <c r="G49" s="47">
        <f t="shared" si="2"/>
        <v>2</v>
      </c>
      <c r="H49" s="47">
        <f>'II SEM C'!L50</f>
        <v>80.76923077</v>
      </c>
      <c r="I49" s="47">
        <f t="shared" si="3"/>
        <v>3</v>
      </c>
      <c r="J49" s="47">
        <f>'II SEM C'!O50</f>
        <v>87.87878788</v>
      </c>
      <c r="K49" s="47">
        <f t="shared" si="4"/>
        <v>4</v>
      </c>
      <c r="L49" s="47">
        <f>'II SEM C'!R50</f>
        <v>81.08108108</v>
      </c>
      <c r="M49" s="47">
        <f t="shared" si="5"/>
        <v>3</v>
      </c>
      <c r="N49" s="47">
        <f>'II SEM C'!U50</f>
        <v>89.47368421</v>
      </c>
      <c r="O49" s="47">
        <f t="shared" si="6"/>
        <v>4</v>
      </c>
      <c r="P49" s="47">
        <f>'II SEM C'!X50</f>
        <v>88.88888889</v>
      </c>
      <c r="Q49" s="47">
        <f t="shared" si="7"/>
        <v>4</v>
      </c>
    </row>
    <row r="50" ht="15.75" customHeight="1">
      <c r="A50" s="23">
        <v>45.0</v>
      </c>
      <c r="B50" s="24" t="s">
        <v>108</v>
      </c>
      <c r="C50" s="25" t="s">
        <v>133</v>
      </c>
      <c r="D50" s="46">
        <f>'II SEM C'!F51</f>
        <v>32.14285714</v>
      </c>
      <c r="E50" s="47">
        <f t="shared" si="1"/>
        <v>2</v>
      </c>
      <c r="F50" s="47">
        <f>'II SEM C'!I51</f>
        <v>73.68421053</v>
      </c>
      <c r="G50" s="47">
        <f t="shared" si="2"/>
        <v>2</v>
      </c>
      <c r="H50" s="47">
        <f>'II SEM C'!L51</f>
        <v>50</v>
      </c>
      <c r="I50" s="47">
        <f t="shared" si="3"/>
        <v>2</v>
      </c>
      <c r="J50" s="47">
        <f>'II SEM C'!O51</f>
        <v>45.45454545</v>
      </c>
      <c r="K50" s="47">
        <f t="shared" si="4"/>
        <v>2</v>
      </c>
      <c r="L50" s="47">
        <f>'II SEM C'!R51</f>
        <v>37.83783784</v>
      </c>
      <c r="M50" s="47">
        <f t="shared" si="5"/>
        <v>2</v>
      </c>
      <c r="N50" s="47">
        <f>'II SEM C'!U51</f>
        <v>52.63157895</v>
      </c>
      <c r="O50" s="47">
        <f t="shared" si="6"/>
        <v>2</v>
      </c>
      <c r="P50" s="47">
        <f>'II SEM C'!X51</f>
        <v>55.55555556</v>
      </c>
      <c r="Q50" s="47">
        <f t="shared" si="7"/>
        <v>2</v>
      </c>
    </row>
    <row r="51" ht="15.75" customHeight="1">
      <c r="A51" s="23">
        <v>46.0</v>
      </c>
      <c r="B51" s="24" t="s">
        <v>110</v>
      </c>
      <c r="C51" s="25" t="s">
        <v>134</v>
      </c>
      <c r="D51" s="46">
        <f>'II SEM C'!F52</f>
        <v>75</v>
      </c>
      <c r="E51" s="47">
        <f t="shared" si="1"/>
        <v>2</v>
      </c>
      <c r="F51" s="47">
        <f>'II SEM C'!I52</f>
        <v>89.47368421</v>
      </c>
      <c r="G51" s="47">
        <f t="shared" si="2"/>
        <v>4</v>
      </c>
      <c r="H51" s="47">
        <f>'II SEM C'!L52</f>
        <v>96.15384615</v>
      </c>
      <c r="I51" s="47">
        <f t="shared" si="3"/>
        <v>5</v>
      </c>
      <c r="J51" s="47">
        <f>'II SEM C'!O52</f>
        <v>96.96969697</v>
      </c>
      <c r="K51" s="47">
        <f t="shared" si="4"/>
        <v>5</v>
      </c>
      <c r="L51" s="47">
        <f>'II SEM C'!R52</f>
        <v>83.78378378</v>
      </c>
      <c r="M51" s="47">
        <f t="shared" si="5"/>
        <v>3</v>
      </c>
      <c r="N51" s="47">
        <f>'II SEM C'!U52</f>
        <v>86.84210526</v>
      </c>
      <c r="O51" s="47">
        <f t="shared" si="6"/>
        <v>4</v>
      </c>
      <c r="P51" s="47">
        <f>'II SEM C'!X52</f>
        <v>83.33333333</v>
      </c>
      <c r="Q51" s="47">
        <f t="shared" si="7"/>
        <v>3</v>
      </c>
    </row>
    <row r="52" ht="15.75" customHeight="1">
      <c r="A52" s="23">
        <v>47.0</v>
      </c>
      <c r="B52" s="24" t="s">
        <v>112</v>
      </c>
      <c r="C52" s="25" t="s">
        <v>135</v>
      </c>
      <c r="D52" s="46">
        <f>'II SEM C'!F53</f>
        <v>78.57142857</v>
      </c>
      <c r="E52" s="47">
        <f t="shared" si="1"/>
        <v>2</v>
      </c>
      <c r="F52" s="47">
        <f>'II SEM C'!I53</f>
        <v>63.15789474</v>
      </c>
      <c r="G52" s="47">
        <f t="shared" si="2"/>
        <v>2</v>
      </c>
      <c r="H52" s="47">
        <f>'II SEM C'!L53</f>
        <v>92.30769231</v>
      </c>
      <c r="I52" s="47">
        <f t="shared" si="3"/>
        <v>5</v>
      </c>
      <c r="J52" s="47">
        <f>'II SEM C'!O53</f>
        <v>93.93939394</v>
      </c>
      <c r="K52" s="47">
        <f t="shared" si="4"/>
        <v>5</v>
      </c>
      <c r="L52" s="47">
        <f>'II SEM C'!R53</f>
        <v>91.89189189</v>
      </c>
      <c r="M52" s="47">
        <f t="shared" si="5"/>
        <v>5</v>
      </c>
      <c r="N52" s="47">
        <f>'II SEM C'!U53</f>
        <v>97.36842105</v>
      </c>
      <c r="O52" s="47">
        <f t="shared" si="6"/>
        <v>5</v>
      </c>
      <c r="P52" s="47">
        <f>'II SEM C'!X53</f>
        <v>94.44444444</v>
      </c>
      <c r="Q52" s="47">
        <f t="shared" si="7"/>
        <v>5</v>
      </c>
    </row>
    <row r="53" ht="15.75" customHeight="1">
      <c r="A53" s="23">
        <v>48.0</v>
      </c>
      <c r="B53" s="24" t="s">
        <v>114</v>
      </c>
      <c r="C53" s="25" t="s">
        <v>136</v>
      </c>
      <c r="D53" s="46">
        <f>'II SEM C'!F54</f>
        <v>75</v>
      </c>
      <c r="E53" s="47">
        <f t="shared" si="1"/>
        <v>2</v>
      </c>
      <c r="F53" s="47">
        <f>'II SEM C'!I54</f>
        <v>42.10526316</v>
      </c>
      <c r="G53" s="47">
        <f t="shared" si="2"/>
        <v>2</v>
      </c>
      <c r="H53" s="47">
        <f>'II SEM C'!L54</f>
        <v>38.46153846</v>
      </c>
      <c r="I53" s="47">
        <f t="shared" si="3"/>
        <v>2</v>
      </c>
      <c r="J53" s="47">
        <f>'II SEM C'!O54</f>
        <v>51.51515152</v>
      </c>
      <c r="K53" s="47">
        <f t="shared" si="4"/>
        <v>2</v>
      </c>
      <c r="L53" s="47">
        <f>'II SEM C'!R54</f>
        <v>40.54054054</v>
      </c>
      <c r="M53" s="47">
        <f t="shared" si="5"/>
        <v>2</v>
      </c>
      <c r="N53" s="47">
        <f>'II SEM C'!U54</f>
        <v>57.89473684</v>
      </c>
      <c r="O53" s="47">
        <f t="shared" si="6"/>
        <v>2</v>
      </c>
      <c r="P53" s="47">
        <f>'II SEM C'!X54</f>
        <v>72.22222222</v>
      </c>
      <c r="Q53" s="47">
        <f t="shared" si="7"/>
        <v>2</v>
      </c>
    </row>
    <row r="54" ht="15.75" customHeight="1">
      <c r="A54" s="23">
        <v>49.0</v>
      </c>
      <c r="B54" s="24" t="s">
        <v>116</v>
      </c>
      <c r="C54" s="25" t="s">
        <v>137</v>
      </c>
      <c r="D54" s="46">
        <f>'II SEM C'!F55</f>
        <v>57.14285714</v>
      </c>
      <c r="E54" s="47">
        <f t="shared" si="1"/>
        <v>2</v>
      </c>
      <c r="F54" s="47">
        <f>'II SEM C'!I55</f>
        <v>26.31578947</v>
      </c>
      <c r="G54" s="47">
        <f t="shared" si="2"/>
        <v>2</v>
      </c>
      <c r="H54" s="47">
        <f>'II SEM C'!L55</f>
        <v>50</v>
      </c>
      <c r="I54" s="47">
        <f t="shared" si="3"/>
        <v>2</v>
      </c>
      <c r="J54" s="47">
        <f>'II SEM C'!O55</f>
        <v>57.57575758</v>
      </c>
      <c r="K54" s="47">
        <f t="shared" si="4"/>
        <v>2</v>
      </c>
      <c r="L54" s="47">
        <f>'II SEM C'!R55</f>
        <v>48.64864865</v>
      </c>
      <c r="M54" s="47">
        <f t="shared" si="5"/>
        <v>2</v>
      </c>
      <c r="N54" s="47">
        <f>'II SEM C'!U55</f>
        <v>55.26315789</v>
      </c>
      <c r="O54" s="47">
        <f t="shared" si="6"/>
        <v>2</v>
      </c>
      <c r="P54" s="47">
        <f>'II SEM C'!X55</f>
        <v>27.77777778</v>
      </c>
      <c r="Q54" s="47">
        <f t="shared" si="7"/>
        <v>2</v>
      </c>
    </row>
    <row r="55" ht="15.75" customHeight="1">
      <c r="A55" s="23">
        <v>50.0</v>
      </c>
      <c r="B55" s="24" t="s">
        <v>118</v>
      </c>
      <c r="C55" s="25" t="s">
        <v>138</v>
      </c>
      <c r="D55" s="46">
        <f>'II SEM C'!F56</f>
        <v>71.42857143</v>
      </c>
      <c r="E55" s="47">
        <f t="shared" si="1"/>
        <v>2</v>
      </c>
      <c r="F55" s="47">
        <f>'II SEM C'!I56</f>
        <v>52.63157895</v>
      </c>
      <c r="G55" s="47">
        <f t="shared" si="2"/>
        <v>2</v>
      </c>
      <c r="H55" s="47">
        <f>'II SEM C'!L56</f>
        <v>11.53846154</v>
      </c>
      <c r="I55" s="47">
        <f t="shared" si="3"/>
        <v>2</v>
      </c>
      <c r="J55" s="47">
        <f>'II SEM C'!O56</f>
        <v>24.24242424</v>
      </c>
      <c r="K55" s="47">
        <f t="shared" si="4"/>
        <v>2</v>
      </c>
      <c r="L55" s="47">
        <f>'II SEM C'!R56</f>
        <v>21.62162162</v>
      </c>
      <c r="M55" s="47">
        <f t="shared" si="5"/>
        <v>2</v>
      </c>
      <c r="N55" s="47">
        <f>'II SEM C'!U56</f>
        <v>28.94736842</v>
      </c>
      <c r="O55" s="47">
        <f t="shared" si="6"/>
        <v>2</v>
      </c>
      <c r="P55" s="47">
        <f>'II SEM C'!X56</f>
        <v>0</v>
      </c>
      <c r="Q55" s="47">
        <f t="shared" si="7"/>
        <v>2</v>
      </c>
    </row>
    <row r="56" ht="15.75" customHeight="1"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</row>
    <row r="57" ht="15.75" customHeight="1"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</row>
    <row r="58" ht="15.75" customHeight="1"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</row>
    <row r="59" ht="15.75" customHeight="1"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</row>
    <row r="60" ht="15.75" customHeight="1"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</row>
    <row r="61" ht="15.75" customHeight="1"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</row>
    <row r="62" ht="15.75" customHeight="1"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</row>
    <row r="63" ht="15.75" customHeight="1"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</row>
    <row r="64" ht="15.75" customHeight="1"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</row>
    <row r="65" ht="15.75" customHeight="1"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</row>
    <row r="66" ht="15.75" customHeight="1"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</row>
    <row r="67" ht="15.75" customHeight="1"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</row>
    <row r="68" ht="15.75" customHeight="1"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</row>
    <row r="69" ht="15.75" customHeight="1"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</row>
    <row r="70" ht="15.75" customHeight="1"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</row>
    <row r="71" ht="15.75" customHeight="1"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</row>
    <row r="72" ht="15.75" customHeight="1"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</row>
    <row r="73" ht="15.75" customHeight="1"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</row>
    <row r="74" ht="15.75" customHeight="1"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</row>
    <row r="75" ht="15.75" customHeight="1"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</row>
    <row r="76" ht="15.75" customHeight="1"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</row>
    <row r="77" ht="15.75" customHeight="1"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</row>
    <row r="78" ht="15.75" customHeight="1"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</row>
    <row r="79" ht="15.75" customHeight="1"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</row>
    <row r="80" ht="15.75" customHeight="1"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</row>
    <row r="81" ht="15.75" customHeight="1"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</row>
    <row r="82" ht="15.75" customHeight="1"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</row>
    <row r="83" ht="15.75" customHeight="1"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</row>
    <row r="84" ht="15.75" customHeight="1"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</row>
    <row r="85" ht="15.75" customHeight="1"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</row>
    <row r="86" ht="15.75" customHeight="1"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</row>
    <row r="87" ht="15.75" customHeight="1"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</row>
    <row r="88" ht="15.75" customHeight="1"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</row>
    <row r="89" ht="15.75" customHeight="1"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</row>
    <row r="90" ht="15.75" customHeight="1"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</row>
    <row r="91" ht="15.75" customHeight="1"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</row>
    <row r="92" ht="15.75" customHeight="1"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</row>
    <row r="93" ht="15.75" customHeight="1"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</row>
    <row r="94" ht="15.75" customHeight="1"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</row>
    <row r="95" ht="15.75" customHeight="1"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</row>
    <row r="96" ht="15.75" customHeight="1"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</row>
    <row r="97" ht="15.75" customHeight="1"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</row>
    <row r="98" ht="15.75" customHeight="1"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</row>
    <row r="99" ht="15.75" customHeight="1"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</row>
    <row r="100" ht="15.75" customHeight="1"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</row>
    <row r="101" ht="15.75" customHeight="1"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</row>
    <row r="102" ht="15.75" customHeight="1"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</row>
    <row r="103" ht="15.75" customHeight="1"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</row>
    <row r="104" ht="15.75" customHeight="1"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</row>
    <row r="105" ht="15.75" customHeight="1"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</row>
    <row r="106" ht="15.75" customHeight="1"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</row>
    <row r="107" ht="15.75" customHeight="1"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</row>
    <row r="108" ht="15.75" customHeight="1"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</row>
    <row r="109" ht="15.75" customHeight="1"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</row>
    <row r="110" ht="15.75" customHeight="1"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</row>
    <row r="111" ht="15.75" customHeight="1"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</row>
    <row r="112" ht="15.75" customHeight="1"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</row>
    <row r="113" ht="15.75" customHeight="1"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</row>
    <row r="114" ht="15.75" customHeight="1"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</row>
    <row r="115" ht="15.75" customHeight="1"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</row>
    <row r="116" ht="15.75" customHeight="1"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</row>
    <row r="117" ht="15.75" customHeight="1"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</row>
    <row r="118" ht="15.75" customHeight="1"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</row>
    <row r="119" ht="15.75" customHeight="1"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</row>
    <row r="120" ht="15.75" customHeight="1"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</row>
    <row r="121" ht="15.75" customHeight="1"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</row>
    <row r="122" ht="15.75" customHeight="1"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</row>
    <row r="123" ht="15.75" customHeight="1"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</row>
    <row r="124" ht="15.75" customHeight="1"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</row>
    <row r="125" ht="15.75" customHeight="1"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</row>
    <row r="126" ht="15.75" customHeight="1"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</row>
    <row r="127" ht="15.75" customHeight="1"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</row>
    <row r="128" ht="15.75" customHeight="1"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</row>
    <row r="129" ht="15.75" customHeight="1"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</row>
    <row r="130" ht="15.75" customHeight="1"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</row>
    <row r="131" ht="15.75" customHeight="1"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</row>
    <row r="132" ht="15.75" customHeight="1"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</row>
    <row r="133" ht="15.75" customHeight="1"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</row>
    <row r="134" ht="15.75" customHeight="1"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</row>
    <row r="135" ht="15.75" customHeight="1"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</row>
    <row r="136" ht="15.75" customHeight="1"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</row>
    <row r="137" ht="15.75" customHeight="1"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</row>
    <row r="138" ht="15.75" customHeight="1"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</row>
    <row r="139" ht="15.75" customHeight="1"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</row>
    <row r="140" ht="15.75" customHeight="1"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</row>
    <row r="141" ht="15.75" customHeight="1"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</row>
    <row r="142" ht="15.75" customHeight="1"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</row>
    <row r="143" ht="15.75" customHeight="1"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</row>
    <row r="144" ht="15.75" customHeight="1"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</row>
    <row r="145" ht="15.75" customHeight="1"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</row>
    <row r="146" ht="15.75" customHeight="1"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</row>
    <row r="147" ht="15.75" customHeight="1"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</row>
    <row r="148" ht="15.75" customHeight="1"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</row>
    <row r="149" ht="15.75" customHeight="1"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</row>
    <row r="150" ht="15.75" customHeight="1"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</row>
    <row r="151" ht="15.75" customHeight="1"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</row>
    <row r="152" ht="15.75" customHeight="1"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</row>
    <row r="153" ht="15.75" customHeight="1"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</row>
    <row r="154" ht="15.75" customHeight="1"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</row>
    <row r="155" ht="15.75" customHeight="1"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</row>
    <row r="156" ht="15.75" customHeight="1"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</row>
    <row r="157" ht="15.75" customHeight="1"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</row>
    <row r="158" ht="15.75" customHeight="1"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</row>
    <row r="159" ht="15.75" customHeight="1"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</row>
    <row r="160" ht="15.75" customHeight="1"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</row>
    <row r="161" ht="15.75" customHeight="1"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</row>
    <row r="162" ht="15.75" customHeight="1"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</row>
    <row r="163" ht="15.75" customHeight="1"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</row>
    <row r="164" ht="15.75" customHeight="1"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</row>
    <row r="165" ht="15.75" customHeight="1"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</row>
    <row r="166" ht="15.75" customHeight="1"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</row>
    <row r="167" ht="15.75" customHeight="1"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</row>
    <row r="168" ht="15.75" customHeight="1"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</row>
    <row r="169" ht="15.75" customHeight="1"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</row>
    <row r="170" ht="15.75" customHeight="1"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</row>
    <row r="171" ht="15.75" customHeight="1"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</row>
    <row r="172" ht="15.75" customHeight="1"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</row>
    <row r="173" ht="15.75" customHeight="1"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</row>
    <row r="174" ht="15.75" customHeight="1"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</row>
    <row r="175" ht="15.75" customHeight="1"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</row>
    <row r="176" ht="15.75" customHeight="1"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</row>
    <row r="177" ht="15.75" customHeight="1"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</row>
    <row r="178" ht="15.75" customHeight="1"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</row>
    <row r="179" ht="15.75" customHeight="1"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</row>
    <row r="180" ht="15.75" customHeight="1"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</row>
    <row r="181" ht="15.75" customHeight="1"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</row>
    <row r="182" ht="15.75" customHeight="1"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</row>
    <row r="183" ht="15.75" customHeight="1"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</row>
    <row r="184" ht="15.75" customHeight="1"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</row>
    <row r="185" ht="15.75" customHeight="1"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</row>
    <row r="186" ht="15.75" customHeight="1"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</row>
    <row r="187" ht="15.75" customHeight="1"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</row>
    <row r="188" ht="15.75" customHeight="1"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</row>
    <row r="189" ht="15.75" customHeight="1"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</row>
    <row r="190" ht="15.75" customHeight="1"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</row>
    <row r="191" ht="15.75" customHeight="1"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</row>
    <row r="192" ht="15.75" customHeight="1"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</row>
    <row r="193" ht="15.75" customHeight="1"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</row>
    <row r="194" ht="15.75" customHeight="1"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</row>
    <row r="195" ht="15.75" customHeight="1"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</row>
    <row r="196" ht="15.75" customHeight="1"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</row>
    <row r="197" ht="15.75" customHeight="1"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</row>
    <row r="198" ht="15.75" customHeight="1"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</row>
    <row r="199" ht="15.75" customHeight="1"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</row>
    <row r="200" ht="15.75" customHeight="1"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</row>
    <row r="201" ht="15.75" customHeight="1"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</row>
    <row r="202" ht="15.75" customHeight="1"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</row>
    <row r="203" ht="15.75" customHeight="1"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</row>
    <row r="204" ht="15.75" customHeight="1"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</row>
    <row r="205" ht="15.75" customHeight="1"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</row>
    <row r="206" ht="15.75" customHeight="1"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</row>
    <row r="207" ht="15.75" customHeight="1"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</row>
    <row r="208" ht="15.75" customHeight="1"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</row>
    <row r="209" ht="15.75" customHeight="1"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</row>
    <row r="210" ht="15.75" customHeight="1"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</row>
    <row r="211" ht="15.75" customHeight="1"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</row>
    <row r="212" ht="15.75" customHeight="1"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</row>
    <row r="213" ht="15.75" customHeight="1"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</row>
    <row r="214" ht="15.75" customHeight="1"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</row>
    <row r="215" ht="15.75" customHeight="1"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</row>
    <row r="216" ht="15.75" customHeight="1"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</row>
    <row r="217" ht="15.75" customHeight="1"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</row>
    <row r="218" ht="15.75" customHeight="1"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</row>
    <row r="219" ht="15.75" customHeight="1"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</row>
    <row r="220" ht="15.75" customHeight="1"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</row>
    <row r="221" ht="15.75" customHeight="1"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</row>
    <row r="222" ht="15.75" customHeight="1"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</row>
    <row r="223" ht="15.75" customHeight="1"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</row>
    <row r="224" ht="15.75" customHeight="1"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</row>
    <row r="225" ht="15.75" customHeight="1"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</row>
    <row r="226" ht="15.75" customHeight="1"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</row>
    <row r="227" ht="15.75" customHeight="1"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</row>
    <row r="228" ht="15.75" customHeight="1"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</row>
    <row r="229" ht="15.75" customHeight="1"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</row>
    <row r="230" ht="15.75" customHeight="1"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</row>
    <row r="231" ht="15.75" customHeight="1"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</row>
    <row r="232" ht="15.75" customHeight="1"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</row>
    <row r="233" ht="15.75" customHeight="1"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</row>
    <row r="234" ht="15.75" customHeight="1"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</row>
    <row r="235" ht="15.75" customHeight="1"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</row>
    <row r="236" ht="15.75" customHeight="1"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</row>
    <row r="237" ht="15.75" customHeight="1"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</row>
    <row r="238" ht="15.75" customHeight="1"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</row>
    <row r="239" ht="15.75" customHeight="1"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</row>
    <row r="240" ht="15.75" customHeight="1"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</row>
    <row r="241" ht="15.75" customHeight="1"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</row>
    <row r="242" ht="15.75" customHeight="1"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</row>
    <row r="243" ht="15.75" customHeight="1"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</row>
    <row r="244" ht="15.75" customHeight="1"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</row>
    <row r="245" ht="15.75" customHeight="1"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</row>
    <row r="246" ht="15.75" customHeight="1"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</row>
    <row r="247" ht="15.75" customHeight="1"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</row>
    <row r="248" ht="15.75" customHeight="1"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</row>
    <row r="249" ht="15.75" customHeight="1"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</row>
    <row r="250" ht="15.75" customHeight="1"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</row>
    <row r="251" ht="15.75" customHeight="1"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</row>
    <row r="252" ht="15.75" customHeight="1"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</row>
    <row r="253" ht="15.75" customHeight="1"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</row>
    <row r="254" ht="15.75" customHeight="1"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</row>
    <row r="255" ht="15.75" customHeight="1"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</row>
    <row r="256" ht="15.75" customHeight="1"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</row>
    <row r="257" ht="15.75" customHeight="1"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</row>
    <row r="258" ht="15.75" customHeight="1"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</row>
    <row r="259" ht="15.75" customHeight="1"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</row>
    <row r="260" ht="15.75" customHeight="1"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</row>
    <row r="261" ht="15.75" customHeight="1"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</row>
    <row r="262" ht="15.75" customHeight="1"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</row>
    <row r="263" ht="15.75" customHeight="1"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</row>
    <row r="264" ht="15.75" customHeight="1"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</row>
    <row r="265" ht="15.75" customHeight="1"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</row>
    <row r="266" ht="15.75" customHeight="1"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</row>
    <row r="267" ht="15.75" customHeight="1"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</row>
    <row r="268" ht="15.75" customHeight="1"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</row>
    <row r="269" ht="15.75" customHeight="1"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</row>
    <row r="270" ht="15.75" customHeight="1"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</row>
    <row r="271" ht="15.75" customHeight="1"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</row>
    <row r="272" ht="15.75" customHeight="1"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</row>
    <row r="273" ht="15.75" customHeight="1"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</row>
    <row r="274" ht="15.75" customHeight="1"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</row>
    <row r="275" ht="15.75" customHeight="1"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</row>
    <row r="276" ht="15.75" customHeight="1"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</row>
    <row r="277" ht="15.75" customHeight="1"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</row>
    <row r="278" ht="15.75" customHeight="1"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</row>
    <row r="279" ht="15.75" customHeight="1"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</row>
    <row r="280" ht="15.75" customHeight="1"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</row>
    <row r="281" ht="15.75" customHeight="1"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</row>
    <row r="282" ht="15.75" customHeight="1"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</row>
    <row r="283" ht="15.75" customHeight="1"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</row>
    <row r="284" ht="15.75" customHeight="1"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</row>
    <row r="285" ht="15.75" customHeight="1"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</row>
    <row r="286" ht="15.75" customHeight="1"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</row>
    <row r="287" ht="15.75" customHeight="1"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</row>
    <row r="288" ht="15.75" customHeight="1"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</row>
    <row r="289" ht="15.75" customHeight="1"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</row>
    <row r="290" ht="15.75" customHeight="1"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</row>
    <row r="291" ht="15.75" customHeight="1"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</row>
    <row r="292" ht="15.75" customHeight="1"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</row>
    <row r="293" ht="15.75" customHeight="1"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</row>
    <row r="294" ht="15.75" customHeight="1"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</row>
    <row r="295" ht="15.75" customHeight="1"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</row>
    <row r="296" ht="15.75" customHeight="1"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</row>
    <row r="297" ht="15.75" customHeight="1"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</row>
    <row r="298" ht="15.75" customHeight="1"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</row>
    <row r="299" ht="15.75" customHeight="1"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</row>
    <row r="300" ht="15.75" customHeight="1"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</row>
    <row r="301" ht="15.75" customHeight="1"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</row>
    <row r="302" ht="15.75" customHeight="1"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</row>
    <row r="303" ht="15.75" customHeight="1"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</row>
    <row r="304" ht="15.75" customHeight="1"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</row>
    <row r="305" ht="15.75" customHeight="1"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</row>
    <row r="306" ht="15.75" customHeight="1"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</row>
    <row r="307" ht="15.75" customHeight="1"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</row>
    <row r="308" ht="15.75" customHeight="1"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</row>
    <row r="309" ht="15.75" customHeight="1"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</row>
    <row r="310" ht="15.75" customHeight="1"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</row>
    <row r="311" ht="15.75" customHeight="1"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</row>
    <row r="312" ht="15.75" customHeight="1"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</row>
    <row r="313" ht="15.75" customHeight="1"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</row>
    <row r="314" ht="15.75" customHeight="1"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</row>
    <row r="315" ht="15.75" customHeight="1"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</row>
    <row r="316" ht="15.75" customHeight="1"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</row>
    <row r="317" ht="15.75" customHeight="1"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</row>
    <row r="318" ht="15.75" customHeight="1"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</row>
    <row r="319" ht="15.75" customHeight="1"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</row>
    <row r="320" ht="15.75" customHeight="1"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</row>
    <row r="321" ht="15.75" customHeight="1"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</row>
    <row r="322" ht="15.75" customHeight="1"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</row>
    <row r="323" ht="15.75" customHeight="1"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</row>
    <row r="324" ht="15.75" customHeight="1"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</row>
    <row r="325" ht="15.75" customHeight="1"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</row>
    <row r="326" ht="15.75" customHeight="1"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</row>
    <row r="327" ht="15.75" customHeight="1"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</row>
    <row r="328" ht="15.75" customHeight="1"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</row>
    <row r="329" ht="15.75" customHeight="1"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</row>
    <row r="330" ht="15.75" customHeight="1"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</row>
    <row r="331" ht="15.75" customHeight="1"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</row>
    <row r="332" ht="15.75" customHeight="1"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</row>
    <row r="333" ht="15.75" customHeight="1"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</row>
    <row r="334" ht="15.75" customHeight="1"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</row>
    <row r="335" ht="15.75" customHeight="1"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</row>
    <row r="336" ht="15.75" customHeight="1"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</row>
    <row r="337" ht="15.75" customHeight="1"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</row>
    <row r="338" ht="15.75" customHeight="1"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</row>
    <row r="339" ht="15.75" customHeight="1"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</row>
    <row r="340" ht="15.75" customHeight="1"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</row>
    <row r="341" ht="15.75" customHeight="1"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</row>
    <row r="342" ht="15.75" customHeight="1"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</row>
    <row r="343" ht="15.75" customHeight="1"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</row>
    <row r="344" ht="15.75" customHeight="1"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</row>
    <row r="345" ht="15.75" customHeight="1"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</row>
    <row r="346" ht="15.75" customHeight="1"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</row>
    <row r="347" ht="15.75" customHeight="1"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</row>
    <row r="348" ht="15.75" customHeight="1"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</row>
    <row r="349" ht="15.75" customHeight="1"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</row>
    <row r="350" ht="15.75" customHeight="1"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</row>
    <row r="351" ht="15.75" customHeight="1"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</row>
    <row r="352" ht="15.75" customHeight="1"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</row>
    <row r="353" ht="15.75" customHeight="1"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</row>
    <row r="354" ht="15.75" customHeight="1"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</row>
    <row r="355" ht="15.75" customHeight="1"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</row>
    <row r="356" ht="15.75" customHeight="1"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</row>
    <row r="357" ht="15.75" customHeight="1"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</row>
    <row r="358" ht="15.75" customHeight="1"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</row>
    <row r="359" ht="15.75" customHeight="1"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</row>
    <row r="360" ht="15.75" customHeight="1"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</row>
    <row r="361" ht="15.75" customHeight="1"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</row>
    <row r="362" ht="15.75" customHeight="1"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</row>
    <row r="363" ht="15.75" customHeight="1"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</row>
    <row r="364" ht="15.75" customHeight="1"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</row>
    <row r="365" ht="15.75" customHeight="1"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</row>
    <row r="366" ht="15.75" customHeight="1"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</row>
    <row r="367" ht="15.75" customHeight="1"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</row>
    <row r="368" ht="15.75" customHeight="1"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</row>
    <row r="369" ht="15.75" customHeight="1"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</row>
    <row r="370" ht="15.75" customHeight="1"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</row>
    <row r="371" ht="15.75" customHeight="1"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</row>
    <row r="372" ht="15.75" customHeight="1"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</row>
    <row r="373" ht="15.75" customHeight="1"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</row>
    <row r="374" ht="15.75" customHeight="1"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</row>
    <row r="375" ht="15.75" customHeight="1"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</row>
    <row r="376" ht="15.75" customHeight="1"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</row>
    <row r="377" ht="15.75" customHeight="1"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</row>
    <row r="378" ht="15.75" customHeight="1"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</row>
    <row r="379" ht="15.75" customHeight="1"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</row>
    <row r="380" ht="15.75" customHeight="1"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</row>
    <row r="381" ht="15.75" customHeight="1"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</row>
    <row r="382" ht="15.75" customHeight="1"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</row>
    <row r="383" ht="15.75" customHeight="1"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</row>
    <row r="384" ht="15.75" customHeight="1"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</row>
    <row r="385" ht="15.75" customHeight="1"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</row>
    <row r="386" ht="15.75" customHeight="1"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</row>
    <row r="387" ht="15.75" customHeight="1"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</row>
    <row r="388" ht="15.75" customHeight="1"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</row>
    <row r="389" ht="15.75" customHeight="1"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</row>
    <row r="390" ht="15.75" customHeight="1"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</row>
    <row r="391" ht="15.75" customHeight="1"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</row>
    <row r="392" ht="15.75" customHeight="1"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</row>
    <row r="393" ht="15.75" customHeight="1"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</row>
    <row r="394" ht="15.75" customHeight="1"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</row>
    <row r="395" ht="15.75" customHeight="1"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</row>
    <row r="396" ht="15.75" customHeight="1"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</row>
    <row r="397" ht="15.75" customHeight="1"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</row>
    <row r="398" ht="15.75" customHeight="1"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</row>
    <row r="399" ht="15.75" customHeight="1"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</row>
    <row r="400" ht="15.75" customHeight="1"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</row>
    <row r="401" ht="15.75" customHeight="1"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</row>
    <row r="402" ht="15.75" customHeight="1"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</row>
    <row r="403" ht="15.75" customHeight="1"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</row>
    <row r="404" ht="15.75" customHeight="1"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</row>
    <row r="405" ht="15.75" customHeight="1"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</row>
    <row r="406" ht="15.75" customHeight="1"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</row>
    <row r="407" ht="15.75" customHeight="1"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</row>
    <row r="408" ht="15.75" customHeight="1"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</row>
    <row r="409" ht="15.75" customHeight="1"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</row>
    <row r="410" ht="15.75" customHeight="1"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</row>
    <row r="411" ht="15.75" customHeight="1"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</row>
    <row r="412" ht="15.75" customHeight="1"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</row>
    <row r="413" ht="15.75" customHeight="1"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</row>
    <row r="414" ht="15.75" customHeight="1"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</row>
    <row r="415" ht="15.75" customHeight="1"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</row>
    <row r="416" ht="15.75" customHeight="1"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</row>
    <row r="417" ht="15.75" customHeight="1"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</row>
    <row r="418" ht="15.75" customHeight="1"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</row>
    <row r="419" ht="15.75" customHeight="1"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</row>
    <row r="420" ht="15.75" customHeight="1"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</row>
    <row r="421" ht="15.75" customHeight="1"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</row>
    <row r="422" ht="15.75" customHeight="1"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</row>
    <row r="423" ht="15.75" customHeight="1"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</row>
    <row r="424" ht="15.75" customHeight="1"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</row>
    <row r="425" ht="15.75" customHeight="1"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</row>
    <row r="426" ht="15.75" customHeight="1"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</row>
    <row r="427" ht="15.75" customHeight="1"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</row>
    <row r="428" ht="15.75" customHeight="1"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</row>
    <row r="429" ht="15.75" customHeight="1"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</row>
    <row r="430" ht="15.75" customHeight="1"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</row>
    <row r="431" ht="15.75" customHeight="1"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</row>
    <row r="432" ht="15.75" customHeight="1"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</row>
    <row r="433" ht="15.75" customHeight="1"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</row>
    <row r="434" ht="15.75" customHeight="1"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</row>
    <row r="435" ht="15.75" customHeight="1"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</row>
    <row r="436" ht="15.75" customHeight="1"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</row>
    <row r="437" ht="15.75" customHeight="1"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</row>
    <row r="438" ht="15.75" customHeight="1"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</row>
    <row r="439" ht="15.75" customHeight="1"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</row>
    <row r="440" ht="15.75" customHeight="1"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</row>
    <row r="441" ht="15.75" customHeight="1"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</row>
    <row r="442" ht="15.75" customHeight="1"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</row>
    <row r="443" ht="15.75" customHeight="1"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</row>
    <row r="444" ht="15.75" customHeight="1"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</row>
    <row r="445" ht="15.75" customHeight="1"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</row>
    <row r="446" ht="15.75" customHeight="1"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</row>
    <row r="447" ht="15.75" customHeight="1"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</row>
    <row r="448" ht="15.75" customHeight="1"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</row>
    <row r="449" ht="15.75" customHeight="1"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</row>
    <row r="450" ht="15.75" customHeight="1"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</row>
    <row r="451" ht="15.75" customHeight="1"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</row>
    <row r="452" ht="15.75" customHeight="1"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</row>
    <row r="453" ht="15.75" customHeight="1"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</row>
    <row r="454" ht="15.75" customHeight="1"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</row>
    <row r="455" ht="15.75" customHeight="1"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</row>
    <row r="456" ht="15.75" customHeight="1"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</row>
    <row r="457" ht="15.75" customHeight="1"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</row>
    <row r="458" ht="15.75" customHeight="1"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</row>
    <row r="459" ht="15.75" customHeight="1"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</row>
    <row r="460" ht="15.75" customHeight="1"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</row>
    <row r="461" ht="15.75" customHeight="1"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</row>
    <row r="462" ht="15.75" customHeight="1"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</row>
    <row r="463" ht="15.75" customHeight="1"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</row>
    <row r="464" ht="15.75" customHeight="1"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</row>
    <row r="465" ht="15.75" customHeight="1"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</row>
    <row r="466" ht="15.75" customHeight="1"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</row>
    <row r="467" ht="15.75" customHeight="1"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</row>
    <row r="468" ht="15.75" customHeight="1"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</row>
    <row r="469" ht="15.75" customHeight="1"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</row>
    <row r="470" ht="15.75" customHeight="1"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</row>
    <row r="471" ht="15.75" customHeight="1"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</row>
    <row r="472" ht="15.75" customHeight="1"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</row>
    <row r="473" ht="15.75" customHeight="1"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</row>
    <row r="474" ht="15.75" customHeight="1"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</row>
    <row r="475" ht="15.75" customHeight="1"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</row>
    <row r="476" ht="15.75" customHeight="1"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</row>
    <row r="477" ht="15.75" customHeight="1"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</row>
    <row r="478" ht="15.75" customHeight="1"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</row>
    <row r="479" ht="15.75" customHeight="1"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</row>
    <row r="480" ht="15.75" customHeight="1"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</row>
    <row r="481" ht="15.75" customHeight="1"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</row>
    <row r="482" ht="15.75" customHeight="1"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</row>
    <row r="483" ht="15.75" customHeight="1"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</row>
    <row r="484" ht="15.75" customHeight="1"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</row>
    <row r="485" ht="15.75" customHeight="1"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</row>
    <row r="486" ht="15.75" customHeight="1"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</row>
    <row r="487" ht="15.75" customHeight="1"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</row>
    <row r="488" ht="15.75" customHeight="1"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</row>
    <row r="489" ht="15.75" customHeight="1"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</row>
    <row r="490" ht="15.75" customHeight="1"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</row>
    <row r="491" ht="15.75" customHeight="1"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</row>
    <row r="492" ht="15.75" customHeight="1"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</row>
    <row r="493" ht="15.75" customHeight="1"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</row>
    <row r="494" ht="15.75" customHeight="1"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</row>
    <row r="495" ht="15.75" customHeight="1"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</row>
    <row r="496" ht="15.75" customHeight="1"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</row>
    <row r="497" ht="15.75" customHeight="1"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</row>
    <row r="498" ht="15.75" customHeight="1"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</row>
    <row r="499" ht="15.75" customHeight="1"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</row>
    <row r="500" ht="15.75" customHeight="1"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</row>
    <row r="501" ht="15.75" customHeight="1"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</row>
    <row r="502" ht="15.75" customHeight="1"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</row>
    <row r="503" ht="15.75" customHeight="1"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</row>
    <row r="504" ht="15.75" customHeight="1"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</row>
    <row r="505" ht="15.75" customHeight="1"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</row>
    <row r="506" ht="15.75" customHeight="1"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</row>
    <row r="507" ht="15.75" customHeight="1"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</row>
    <row r="508" ht="15.75" customHeight="1"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</row>
    <row r="509" ht="15.75" customHeight="1"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</row>
    <row r="510" ht="15.75" customHeight="1"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</row>
    <row r="511" ht="15.75" customHeight="1"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</row>
    <row r="512" ht="15.75" customHeight="1"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</row>
    <row r="513" ht="15.75" customHeight="1"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</row>
    <row r="514" ht="15.75" customHeight="1"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</row>
    <row r="515" ht="15.75" customHeight="1"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</row>
    <row r="516" ht="15.75" customHeight="1"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</row>
    <row r="517" ht="15.75" customHeight="1"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</row>
    <row r="518" ht="15.75" customHeight="1"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</row>
    <row r="519" ht="15.75" customHeight="1"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</row>
    <row r="520" ht="15.75" customHeight="1"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</row>
    <row r="521" ht="15.75" customHeight="1"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</row>
    <row r="522" ht="15.75" customHeight="1"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</row>
    <row r="523" ht="15.75" customHeight="1"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</row>
    <row r="524" ht="15.75" customHeight="1"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</row>
    <row r="525" ht="15.75" customHeight="1"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</row>
    <row r="526" ht="15.75" customHeight="1"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</row>
    <row r="527" ht="15.75" customHeight="1"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</row>
    <row r="528" ht="15.75" customHeight="1"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</row>
    <row r="529" ht="15.75" customHeight="1"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</row>
    <row r="530" ht="15.75" customHeight="1"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</row>
    <row r="531" ht="15.75" customHeight="1"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</row>
    <row r="532" ht="15.75" customHeight="1"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</row>
    <row r="533" ht="15.75" customHeight="1"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</row>
    <row r="534" ht="15.75" customHeight="1"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</row>
    <row r="535" ht="15.75" customHeight="1"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</row>
    <row r="536" ht="15.75" customHeight="1"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</row>
    <row r="537" ht="15.75" customHeight="1"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</row>
    <row r="538" ht="15.75" customHeight="1"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</row>
    <row r="539" ht="15.75" customHeight="1"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</row>
    <row r="540" ht="15.75" customHeight="1"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</row>
    <row r="541" ht="15.75" customHeight="1"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</row>
    <row r="542" ht="15.75" customHeight="1"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</row>
    <row r="543" ht="15.75" customHeight="1"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</row>
    <row r="544" ht="15.75" customHeight="1"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</row>
    <row r="545" ht="15.75" customHeight="1"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</row>
    <row r="546" ht="15.75" customHeight="1"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</row>
    <row r="547" ht="15.75" customHeight="1"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</row>
    <row r="548" ht="15.75" customHeight="1"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</row>
    <row r="549" ht="15.75" customHeight="1"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</row>
    <row r="550" ht="15.75" customHeight="1"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</row>
    <row r="551" ht="15.75" customHeight="1"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</row>
    <row r="552" ht="15.75" customHeight="1"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</row>
    <row r="553" ht="15.75" customHeight="1"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</row>
    <row r="554" ht="15.75" customHeight="1"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</row>
    <row r="555" ht="15.75" customHeight="1"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</row>
    <row r="556" ht="15.75" customHeight="1"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</row>
    <row r="557" ht="15.75" customHeight="1"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</row>
    <row r="558" ht="15.75" customHeight="1"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</row>
    <row r="559" ht="15.75" customHeight="1"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</row>
    <row r="560" ht="15.75" customHeight="1"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</row>
    <row r="561" ht="15.75" customHeight="1"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</row>
    <row r="562" ht="15.75" customHeight="1"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</row>
    <row r="563" ht="15.75" customHeight="1"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</row>
    <row r="564" ht="15.75" customHeight="1"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</row>
    <row r="565" ht="15.75" customHeight="1"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</row>
    <row r="566" ht="15.75" customHeight="1"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</row>
    <row r="567" ht="15.75" customHeight="1"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</row>
    <row r="568" ht="15.75" customHeight="1"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</row>
    <row r="569" ht="15.75" customHeight="1"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</row>
    <row r="570" ht="15.75" customHeight="1"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</row>
    <row r="571" ht="15.75" customHeight="1"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</row>
    <row r="572" ht="15.75" customHeight="1"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</row>
    <row r="573" ht="15.75" customHeight="1"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</row>
    <row r="574" ht="15.75" customHeight="1"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</row>
    <row r="575" ht="15.75" customHeight="1"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</row>
    <row r="576" ht="15.75" customHeight="1"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</row>
    <row r="577" ht="15.75" customHeight="1"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</row>
    <row r="578" ht="15.75" customHeight="1"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</row>
    <row r="579" ht="15.75" customHeight="1"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</row>
    <row r="580" ht="15.75" customHeight="1"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</row>
    <row r="581" ht="15.75" customHeight="1"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</row>
    <row r="582" ht="15.75" customHeight="1"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</row>
    <row r="583" ht="15.75" customHeight="1"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</row>
    <row r="584" ht="15.75" customHeight="1"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</row>
    <row r="585" ht="15.75" customHeight="1"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</row>
    <row r="586" ht="15.75" customHeight="1"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</row>
    <row r="587" ht="15.75" customHeight="1"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</row>
    <row r="588" ht="15.75" customHeight="1"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</row>
    <row r="589" ht="15.75" customHeight="1"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</row>
    <row r="590" ht="15.75" customHeight="1"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</row>
    <row r="591" ht="15.75" customHeight="1"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</row>
    <row r="592" ht="15.75" customHeight="1"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</row>
    <row r="593" ht="15.75" customHeight="1"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</row>
    <row r="594" ht="15.75" customHeight="1"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</row>
    <row r="595" ht="15.75" customHeight="1"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</row>
    <row r="596" ht="15.75" customHeight="1"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</row>
    <row r="597" ht="15.75" customHeight="1"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</row>
    <row r="598" ht="15.75" customHeight="1"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</row>
    <row r="599" ht="15.75" customHeight="1"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</row>
    <row r="600" ht="15.75" customHeight="1"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</row>
    <row r="601" ht="15.75" customHeight="1"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</row>
    <row r="602" ht="15.75" customHeight="1"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</row>
    <row r="603" ht="15.75" customHeight="1"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</row>
    <row r="604" ht="15.75" customHeight="1"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</row>
    <row r="605" ht="15.75" customHeight="1"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</row>
    <row r="606" ht="15.75" customHeight="1"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</row>
    <row r="607" ht="15.75" customHeight="1"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</row>
    <row r="608" ht="15.75" customHeight="1"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</row>
    <row r="609" ht="15.75" customHeight="1"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</row>
    <row r="610" ht="15.75" customHeight="1"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</row>
    <row r="611" ht="15.75" customHeight="1"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</row>
    <row r="612" ht="15.75" customHeight="1"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</row>
    <row r="613" ht="15.75" customHeight="1"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</row>
    <row r="614" ht="15.75" customHeight="1"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</row>
    <row r="615" ht="15.75" customHeight="1"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</row>
    <row r="616" ht="15.75" customHeight="1"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</row>
    <row r="617" ht="15.75" customHeight="1"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</row>
    <row r="618" ht="15.75" customHeight="1"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</row>
    <row r="619" ht="15.75" customHeight="1"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</row>
    <row r="620" ht="15.75" customHeight="1"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</row>
    <row r="621" ht="15.75" customHeight="1"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</row>
    <row r="622" ht="15.75" customHeight="1"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</row>
    <row r="623" ht="15.75" customHeight="1"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</row>
    <row r="624" ht="15.75" customHeight="1"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</row>
    <row r="625" ht="15.75" customHeight="1"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</row>
    <row r="626" ht="15.75" customHeight="1"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</row>
    <row r="627" ht="15.75" customHeight="1"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</row>
    <row r="628" ht="15.75" customHeight="1"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</row>
    <row r="629" ht="15.75" customHeight="1"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</row>
    <row r="630" ht="15.75" customHeight="1"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</row>
    <row r="631" ht="15.75" customHeight="1"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</row>
    <row r="632" ht="15.75" customHeight="1"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</row>
    <row r="633" ht="15.75" customHeight="1"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</row>
    <row r="634" ht="15.75" customHeight="1"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</row>
    <row r="635" ht="15.75" customHeight="1"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</row>
    <row r="636" ht="15.75" customHeight="1"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</row>
    <row r="637" ht="15.75" customHeight="1"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</row>
    <row r="638" ht="15.75" customHeight="1"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</row>
    <row r="639" ht="15.75" customHeight="1"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</row>
    <row r="640" ht="15.75" customHeight="1"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</row>
    <row r="641" ht="15.75" customHeight="1"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</row>
    <row r="642" ht="15.75" customHeight="1"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</row>
    <row r="643" ht="15.75" customHeight="1"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</row>
    <row r="644" ht="15.75" customHeight="1"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</row>
    <row r="645" ht="15.75" customHeight="1"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</row>
    <row r="646" ht="15.75" customHeight="1"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</row>
    <row r="647" ht="15.75" customHeight="1"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</row>
    <row r="648" ht="15.75" customHeight="1"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</row>
    <row r="649" ht="15.75" customHeight="1"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</row>
    <row r="650" ht="15.75" customHeight="1"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</row>
    <row r="651" ht="15.75" customHeight="1"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</row>
    <row r="652" ht="15.75" customHeight="1"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</row>
    <row r="653" ht="15.75" customHeight="1"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</row>
    <row r="654" ht="15.75" customHeight="1"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</row>
    <row r="655" ht="15.75" customHeight="1"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</row>
    <row r="656" ht="15.75" customHeight="1"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</row>
    <row r="657" ht="15.75" customHeight="1"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</row>
    <row r="658" ht="15.75" customHeight="1"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</row>
    <row r="659" ht="15.75" customHeight="1"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</row>
    <row r="660" ht="15.75" customHeight="1"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</row>
    <row r="661" ht="15.75" customHeight="1"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</row>
    <row r="662" ht="15.75" customHeight="1"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</row>
    <row r="663" ht="15.75" customHeight="1"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</row>
    <row r="664" ht="15.75" customHeight="1"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</row>
    <row r="665" ht="15.75" customHeight="1"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</row>
    <row r="666" ht="15.75" customHeight="1"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</row>
    <row r="667" ht="15.75" customHeight="1"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</row>
    <row r="668" ht="15.75" customHeight="1"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</row>
    <row r="669" ht="15.75" customHeight="1"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</row>
    <row r="670" ht="15.75" customHeight="1"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</row>
    <row r="671" ht="15.75" customHeight="1"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</row>
    <row r="672" ht="15.75" customHeight="1"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</row>
    <row r="673" ht="15.75" customHeight="1"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</row>
    <row r="674" ht="15.75" customHeight="1"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</row>
    <row r="675" ht="15.75" customHeight="1"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</row>
    <row r="676" ht="15.75" customHeight="1"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</row>
    <row r="677" ht="15.75" customHeight="1"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</row>
    <row r="678" ht="15.75" customHeight="1"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</row>
    <row r="679" ht="15.75" customHeight="1"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</row>
    <row r="680" ht="15.75" customHeight="1"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</row>
    <row r="681" ht="15.75" customHeight="1"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</row>
    <row r="682" ht="15.75" customHeight="1"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</row>
    <row r="683" ht="15.75" customHeight="1"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</row>
    <row r="684" ht="15.75" customHeight="1"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</row>
    <row r="685" ht="15.75" customHeight="1"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</row>
    <row r="686" ht="15.75" customHeight="1"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</row>
    <row r="687" ht="15.75" customHeight="1"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</row>
    <row r="688" ht="15.75" customHeight="1"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</row>
    <row r="689" ht="15.75" customHeight="1"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</row>
    <row r="690" ht="15.75" customHeight="1"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</row>
    <row r="691" ht="15.75" customHeight="1"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</row>
    <row r="692" ht="15.75" customHeight="1"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</row>
    <row r="693" ht="15.75" customHeight="1"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</row>
    <row r="694" ht="15.75" customHeight="1"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</row>
    <row r="695" ht="15.75" customHeight="1"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</row>
    <row r="696" ht="15.75" customHeight="1"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</row>
    <row r="697" ht="15.75" customHeight="1"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</row>
    <row r="698" ht="15.75" customHeight="1"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</row>
    <row r="699" ht="15.75" customHeight="1"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</row>
    <row r="700" ht="15.75" customHeight="1"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</row>
    <row r="701" ht="15.75" customHeight="1"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</row>
    <row r="702" ht="15.75" customHeight="1"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</row>
    <row r="703" ht="15.75" customHeight="1"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</row>
    <row r="704" ht="15.75" customHeight="1"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</row>
    <row r="705" ht="15.75" customHeight="1"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</row>
    <row r="706" ht="15.75" customHeight="1"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</row>
    <row r="707" ht="15.75" customHeight="1"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</row>
    <row r="708" ht="15.75" customHeight="1"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</row>
    <row r="709" ht="15.75" customHeight="1"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</row>
    <row r="710" ht="15.75" customHeight="1"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</row>
    <row r="711" ht="15.75" customHeight="1"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</row>
    <row r="712" ht="15.75" customHeight="1"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</row>
    <row r="713" ht="15.75" customHeight="1"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</row>
    <row r="714" ht="15.75" customHeight="1"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</row>
    <row r="715" ht="15.75" customHeight="1"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</row>
    <row r="716" ht="15.75" customHeight="1"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</row>
    <row r="717" ht="15.75" customHeight="1"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</row>
    <row r="718" ht="15.75" customHeight="1"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</row>
    <row r="719" ht="15.75" customHeight="1"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</row>
    <row r="720" ht="15.75" customHeight="1"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</row>
    <row r="721" ht="15.75" customHeight="1"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</row>
    <row r="722" ht="15.75" customHeight="1"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</row>
    <row r="723" ht="15.75" customHeight="1"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</row>
    <row r="724" ht="15.75" customHeight="1"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</row>
    <row r="725" ht="15.75" customHeight="1"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</row>
    <row r="726" ht="15.75" customHeight="1"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</row>
    <row r="727" ht="15.75" customHeight="1"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</row>
    <row r="728" ht="15.75" customHeight="1"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</row>
    <row r="729" ht="15.75" customHeight="1"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</row>
    <row r="730" ht="15.75" customHeight="1"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</row>
    <row r="731" ht="15.75" customHeight="1"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</row>
    <row r="732" ht="15.75" customHeight="1"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</row>
    <row r="733" ht="15.75" customHeight="1"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</row>
    <row r="734" ht="15.75" customHeight="1"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</row>
    <row r="735" ht="15.75" customHeight="1"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</row>
    <row r="736" ht="15.75" customHeight="1"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</row>
    <row r="737" ht="15.75" customHeight="1"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</row>
    <row r="738" ht="15.75" customHeight="1"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</row>
    <row r="739" ht="15.75" customHeight="1"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</row>
    <row r="740" ht="15.75" customHeight="1"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</row>
    <row r="741" ht="15.75" customHeight="1"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</row>
    <row r="742" ht="15.75" customHeight="1"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</row>
    <row r="743" ht="15.75" customHeight="1"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</row>
    <row r="744" ht="15.75" customHeight="1"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</row>
    <row r="745" ht="15.75" customHeight="1"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</row>
    <row r="746" ht="15.75" customHeight="1"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</row>
    <row r="747" ht="15.75" customHeight="1"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</row>
    <row r="748" ht="15.75" customHeight="1"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</row>
    <row r="749" ht="15.75" customHeight="1"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</row>
    <row r="750" ht="15.75" customHeight="1"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</row>
    <row r="751" ht="15.75" customHeight="1"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</row>
    <row r="752" ht="15.75" customHeight="1"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</row>
    <row r="753" ht="15.75" customHeight="1"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</row>
    <row r="754" ht="15.75" customHeight="1"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</row>
    <row r="755" ht="15.75" customHeight="1"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</row>
    <row r="756" ht="15.75" customHeight="1"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</row>
    <row r="757" ht="15.75" customHeight="1"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</row>
    <row r="758" ht="15.75" customHeight="1"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</row>
    <row r="759" ht="15.75" customHeight="1"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</row>
    <row r="760" ht="15.75" customHeight="1"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</row>
    <row r="761" ht="15.75" customHeight="1"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</row>
    <row r="762" ht="15.75" customHeight="1"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</row>
    <row r="763" ht="15.75" customHeight="1"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</row>
    <row r="764" ht="15.75" customHeight="1"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</row>
    <row r="765" ht="15.75" customHeight="1"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</row>
    <row r="766" ht="15.75" customHeight="1"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</row>
    <row r="767" ht="15.75" customHeight="1"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</row>
    <row r="768" ht="15.75" customHeight="1"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</row>
    <row r="769" ht="15.75" customHeight="1"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</row>
    <row r="770" ht="15.75" customHeight="1"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</row>
    <row r="771" ht="15.75" customHeight="1"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</row>
    <row r="772" ht="15.75" customHeight="1"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</row>
    <row r="773" ht="15.75" customHeight="1"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</row>
    <row r="774" ht="15.75" customHeight="1"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</row>
    <row r="775" ht="15.75" customHeight="1"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</row>
    <row r="776" ht="15.75" customHeight="1"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</row>
    <row r="777" ht="15.75" customHeight="1"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</row>
    <row r="778" ht="15.75" customHeight="1"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</row>
    <row r="779" ht="15.75" customHeight="1"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</row>
    <row r="780" ht="15.75" customHeight="1"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</row>
    <row r="781" ht="15.75" customHeight="1"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</row>
    <row r="782" ht="15.75" customHeight="1"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</row>
    <row r="783" ht="15.75" customHeight="1"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</row>
    <row r="784" ht="15.75" customHeight="1"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</row>
    <row r="785" ht="15.75" customHeight="1"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</row>
    <row r="786" ht="15.75" customHeight="1"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</row>
    <row r="787" ht="15.75" customHeight="1"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</row>
    <row r="788" ht="15.75" customHeight="1"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</row>
    <row r="789" ht="15.75" customHeight="1"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</row>
    <row r="790" ht="15.75" customHeight="1"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</row>
    <row r="791" ht="15.75" customHeight="1"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</row>
    <row r="792" ht="15.75" customHeight="1"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</row>
    <row r="793" ht="15.75" customHeight="1"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</row>
    <row r="794" ht="15.75" customHeight="1"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</row>
    <row r="795" ht="15.75" customHeight="1"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</row>
    <row r="796" ht="15.75" customHeight="1"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</row>
    <row r="797" ht="15.75" customHeight="1"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</row>
    <row r="798" ht="15.75" customHeight="1"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</row>
    <row r="799" ht="15.75" customHeight="1"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</row>
    <row r="800" ht="15.75" customHeight="1"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</row>
    <row r="801" ht="15.75" customHeight="1"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</row>
    <row r="802" ht="15.75" customHeight="1"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</row>
    <row r="803" ht="15.75" customHeight="1"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</row>
    <row r="804" ht="15.75" customHeight="1"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</row>
    <row r="805" ht="15.75" customHeight="1"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</row>
    <row r="806" ht="15.75" customHeight="1"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</row>
    <row r="807" ht="15.75" customHeight="1"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</row>
    <row r="808" ht="15.75" customHeight="1"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</row>
    <row r="809" ht="15.75" customHeight="1"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</row>
    <row r="810" ht="15.75" customHeight="1"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</row>
    <row r="811" ht="15.75" customHeight="1"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</row>
    <row r="812" ht="15.75" customHeight="1"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</row>
    <row r="813" ht="15.75" customHeight="1"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</row>
    <row r="814" ht="15.75" customHeight="1"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</row>
    <row r="815" ht="15.75" customHeight="1"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</row>
    <row r="816" ht="15.75" customHeight="1"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</row>
    <row r="817" ht="15.75" customHeight="1"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</row>
    <row r="818" ht="15.75" customHeight="1"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</row>
    <row r="819" ht="15.75" customHeight="1"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</row>
    <row r="820" ht="15.75" customHeight="1"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</row>
    <row r="821" ht="15.75" customHeight="1"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</row>
    <row r="822" ht="15.75" customHeight="1"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</row>
    <row r="823" ht="15.75" customHeight="1"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</row>
    <row r="824" ht="15.75" customHeight="1"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</row>
    <row r="825" ht="15.75" customHeight="1"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</row>
    <row r="826" ht="15.75" customHeight="1"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</row>
    <row r="827" ht="15.75" customHeight="1"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</row>
    <row r="828" ht="15.75" customHeight="1"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</row>
    <row r="829" ht="15.75" customHeight="1"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</row>
    <row r="830" ht="15.75" customHeight="1"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</row>
    <row r="831" ht="15.75" customHeight="1"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</row>
    <row r="832" ht="15.75" customHeight="1"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</row>
    <row r="833" ht="15.75" customHeight="1"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</row>
    <row r="834" ht="15.75" customHeight="1"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</row>
    <row r="835" ht="15.75" customHeight="1"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</row>
    <row r="836" ht="15.75" customHeight="1"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</row>
    <row r="837" ht="15.75" customHeight="1"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</row>
    <row r="838" ht="15.75" customHeight="1"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</row>
    <row r="839" ht="15.75" customHeight="1"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</row>
    <row r="840" ht="15.75" customHeight="1"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</row>
    <row r="841" ht="15.75" customHeight="1"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</row>
    <row r="842" ht="15.75" customHeight="1"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</row>
    <row r="843" ht="15.75" customHeight="1"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</row>
    <row r="844" ht="15.75" customHeight="1"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</row>
    <row r="845" ht="15.75" customHeight="1"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</row>
    <row r="846" ht="15.75" customHeight="1"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</row>
    <row r="847" ht="15.75" customHeight="1"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</row>
    <row r="848" ht="15.75" customHeight="1"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</row>
    <row r="849" ht="15.75" customHeight="1"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</row>
    <row r="850" ht="15.75" customHeight="1"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</row>
    <row r="851" ht="15.75" customHeight="1"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</row>
    <row r="852" ht="15.75" customHeight="1"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</row>
    <row r="853" ht="15.75" customHeight="1"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</row>
    <row r="854" ht="15.75" customHeight="1"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</row>
    <row r="855" ht="15.75" customHeight="1"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</row>
    <row r="856" ht="15.75" customHeight="1"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</row>
    <row r="857" ht="15.75" customHeight="1"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</row>
    <row r="858" ht="15.75" customHeight="1"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</row>
    <row r="859" ht="15.75" customHeight="1"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</row>
    <row r="860" ht="15.75" customHeight="1"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</row>
    <row r="861" ht="15.75" customHeight="1"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</row>
    <row r="862" ht="15.75" customHeight="1"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</row>
    <row r="863" ht="15.75" customHeight="1"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</row>
    <row r="864" ht="15.75" customHeight="1"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</row>
    <row r="865" ht="15.75" customHeight="1"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</row>
    <row r="866" ht="15.75" customHeight="1"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</row>
    <row r="867" ht="15.75" customHeight="1"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</row>
    <row r="868" ht="15.75" customHeight="1"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</row>
    <row r="869" ht="15.75" customHeight="1"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</row>
    <row r="870" ht="15.75" customHeight="1"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</row>
    <row r="871" ht="15.75" customHeight="1"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</row>
    <row r="872" ht="15.75" customHeight="1"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</row>
    <row r="873" ht="15.75" customHeight="1"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</row>
    <row r="874" ht="15.75" customHeight="1"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</row>
    <row r="875" ht="15.75" customHeight="1"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</row>
    <row r="876" ht="15.75" customHeight="1"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</row>
    <row r="877" ht="15.75" customHeight="1"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</row>
    <row r="878" ht="15.75" customHeight="1"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</row>
    <row r="879" ht="15.75" customHeight="1"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</row>
    <row r="880" ht="15.75" customHeight="1"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</row>
    <row r="881" ht="15.75" customHeight="1"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</row>
    <row r="882" ht="15.75" customHeight="1"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</row>
    <row r="883" ht="15.75" customHeight="1"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</row>
    <row r="884" ht="15.75" customHeight="1"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</row>
    <row r="885" ht="15.75" customHeight="1"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</row>
    <row r="886" ht="15.75" customHeight="1"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</row>
    <row r="887" ht="15.75" customHeight="1"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</row>
    <row r="888" ht="15.75" customHeight="1"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</row>
    <row r="889" ht="15.75" customHeight="1"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</row>
    <row r="890" ht="15.75" customHeight="1"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</row>
    <row r="891" ht="15.75" customHeight="1"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</row>
    <row r="892" ht="15.75" customHeight="1"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</row>
    <row r="893" ht="15.75" customHeight="1"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</row>
    <row r="894" ht="15.75" customHeight="1"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</row>
    <row r="895" ht="15.75" customHeight="1"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</row>
    <row r="896" ht="15.75" customHeight="1"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</row>
    <row r="897" ht="15.75" customHeight="1"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</row>
    <row r="898" ht="15.75" customHeight="1"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</row>
    <row r="899" ht="15.75" customHeight="1"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</row>
    <row r="900" ht="15.75" customHeight="1"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</row>
    <row r="901" ht="15.75" customHeight="1"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</row>
    <row r="902" ht="15.75" customHeight="1"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</row>
    <row r="903" ht="15.75" customHeight="1"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</row>
    <row r="904" ht="15.75" customHeight="1"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</row>
    <row r="905" ht="15.75" customHeight="1"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</row>
    <row r="906" ht="15.75" customHeight="1"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</row>
    <row r="907" ht="15.75" customHeight="1"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</row>
    <row r="908" ht="15.75" customHeight="1"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</row>
    <row r="909" ht="15.75" customHeight="1"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</row>
    <row r="910" ht="15.75" customHeight="1"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</row>
    <row r="911" ht="15.75" customHeight="1"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</row>
    <row r="912" ht="15.75" customHeight="1"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</row>
    <row r="913" ht="15.75" customHeight="1"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</row>
    <row r="914" ht="15.75" customHeight="1"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</row>
    <row r="915" ht="15.75" customHeight="1"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</row>
    <row r="916" ht="15.75" customHeight="1"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</row>
    <row r="917" ht="15.75" customHeight="1"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</row>
    <row r="918" ht="15.75" customHeight="1"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</row>
    <row r="919" ht="15.75" customHeight="1"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</row>
    <row r="920" ht="15.75" customHeight="1"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</row>
    <row r="921" ht="15.75" customHeight="1"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</row>
    <row r="922" ht="15.75" customHeight="1"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</row>
    <row r="923" ht="15.75" customHeight="1"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</row>
    <row r="924" ht="15.75" customHeight="1"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</row>
    <row r="925" ht="15.75" customHeight="1"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</row>
    <row r="926" ht="15.75" customHeight="1"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</row>
    <row r="927" ht="15.75" customHeight="1"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</row>
    <row r="928" ht="15.75" customHeight="1"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</row>
    <row r="929" ht="15.75" customHeight="1"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</row>
    <row r="930" ht="15.75" customHeight="1"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</row>
    <row r="931" ht="15.75" customHeight="1"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</row>
    <row r="932" ht="15.75" customHeight="1"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</row>
    <row r="933" ht="15.75" customHeight="1"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</row>
    <row r="934" ht="15.75" customHeight="1"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</row>
    <row r="935" ht="15.75" customHeight="1"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</row>
    <row r="936" ht="15.75" customHeight="1"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</row>
    <row r="937" ht="15.75" customHeight="1"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</row>
    <row r="938" ht="15.75" customHeight="1"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</row>
    <row r="939" ht="15.75" customHeight="1"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</row>
    <row r="940" ht="15.75" customHeight="1"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</row>
    <row r="941" ht="15.75" customHeight="1"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</row>
    <row r="942" ht="15.75" customHeight="1"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</row>
    <row r="943" ht="15.75" customHeight="1"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</row>
    <row r="944" ht="15.75" customHeight="1"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</row>
    <row r="945" ht="15.75" customHeight="1"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</row>
    <row r="946" ht="15.75" customHeight="1"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</row>
    <row r="947" ht="15.75" customHeight="1"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</row>
    <row r="948" ht="15.75" customHeight="1"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</row>
    <row r="949" ht="15.75" customHeight="1"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</row>
    <row r="950" ht="15.75" customHeight="1"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</row>
    <row r="951" ht="15.75" customHeight="1"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</row>
    <row r="952" ht="15.75" customHeight="1"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</row>
    <row r="953" ht="15.75" customHeight="1"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</row>
    <row r="954" ht="15.75" customHeight="1"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</row>
    <row r="955" ht="15.75" customHeight="1"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</row>
    <row r="956" ht="15.75" customHeight="1"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</row>
    <row r="957" ht="15.75" customHeight="1"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</row>
    <row r="958" ht="15.75" customHeight="1"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</row>
    <row r="959" ht="15.75" customHeight="1"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</row>
    <row r="960" ht="15.75" customHeight="1"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</row>
    <row r="961" ht="15.75" customHeight="1"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</row>
    <row r="962" ht="15.75" customHeight="1"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</row>
    <row r="963" ht="15.75" customHeight="1"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</row>
    <row r="964" ht="15.75" customHeight="1"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</row>
    <row r="965" ht="15.75" customHeight="1"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</row>
    <row r="966" ht="15.75" customHeight="1"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</row>
    <row r="967" ht="15.75" customHeight="1"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</row>
    <row r="968" ht="15.75" customHeight="1"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</row>
    <row r="969" ht="15.75" customHeight="1"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</row>
    <row r="970" ht="15.75" customHeight="1"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</row>
    <row r="971" ht="15.75" customHeight="1"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</row>
    <row r="972" ht="15.75" customHeight="1"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</row>
    <row r="973" ht="15.75" customHeight="1"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</row>
    <row r="974" ht="15.75" customHeight="1"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</row>
    <row r="975" ht="15.75" customHeight="1"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</row>
    <row r="976" ht="15.75" customHeight="1"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</row>
    <row r="977" ht="15.75" customHeight="1"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</row>
    <row r="978" ht="15.75" customHeight="1"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</row>
    <row r="979" ht="15.75" customHeight="1"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</row>
    <row r="980" ht="15.75" customHeight="1"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</row>
    <row r="981" ht="15.75" customHeight="1"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</row>
    <row r="982" ht="15.75" customHeight="1"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</row>
    <row r="983" ht="15.75" customHeight="1"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</row>
    <row r="984" ht="15.75" customHeight="1"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</row>
    <row r="985" ht="15.75" customHeight="1"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</row>
    <row r="986" ht="15.75" customHeight="1"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</row>
    <row r="987" ht="15.75" customHeight="1"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</row>
    <row r="988" ht="15.75" customHeight="1"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</row>
    <row r="989" ht="15.75" customHeight="1"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</row>
    <row r="990" ht="15.75" customHeight="1"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</row>
    <row r="991" ht="15.75" customHeight="1"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</row>
    <row r="992" ht="15.75" customHeight="1"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</row>
    <row r="993" ht="15.75" customHeight="1"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</row>
    <row r="994" ht="15.75" customHeight="1"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</row>
    <row r="995" ht="15.75" customHeight="1"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</row>
    <row r="996" ht="15.75" customHeight="1"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</row>
    <row r="997" ht="15.75" customHeight="1"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</row>
    <row r="998" ht="15.75" customHeight="1"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</row>
    <row r="999" ht="15.75" customHeight="1"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</row>
    <row r="1000" ht="15.75" customHeight="1"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</row>
  </sheetData>
  <mergeCells count="4">
    <mergeCell ref="A1:Q1"/>
    <mergeCell ref="A2:Q2"/>
    <mergeCell ref="A3:Q3"/>
    <mergeCell ref="A4:Q4"/>
  </mergeCells>
  <conditionalFormatting sqref="D5:E5 D6:D55">
    <cfRule type="cellIs" dxfId="0" priority="1" operator="lessThan">
      <formula>75</formula>
    </cfRule>
  </conditionalFormatting>
  <conditionalFormatting sqref="G5">
    <cfRule type="cellIs" dxfId="0" priority="2" operator="lessThan">
      <formula>75</formula>
    </cfRule>
  </conditionalFormatting>
  <printOptions/>
  <pageMargins bottom="0.75" footer="0.0" header="0.0" left="0.7" right="0.2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6.5"/>
    <col customWidth="1" min="3" max="3" width="20.38"/>
    <col customWidth="1" min="4" max="4" width="9.63"/>
    <col customWidth="1" hidden="1" min="5" max="5" width="9.63"/>
    <col customWidth="1" min="6" max="6" width="9.63"/>
    <col customWidth="1" hidden="1" min="7" max="7" width="9.63"/>
    <col customWidth="1" min="8" max="8" width="9.63"/>
    <col customWidth="1" hidden="1" min="9" max="9" width="9.63"/>
    <col customWidth="1" min="10" max="10" width="9.63"/>
    <col customWidth="1" hidden="1" min="11" max="11" width="9.63"/>
    <col customWidth="1" min="12" max="12" width="9.63"/>
    <col customWidth="1" hidden="1" min="13" max="13" width="9.63"/>
    <col customWidth="1" min="14" max="14" width="9.63"/>
    <col customWidth="1" hidden="1" min="15" max="15" width="9.63"/>
    <col customWidth="1" min="16" max="16" width="9.63"/>
    <col customWidth="1" hidden="1" min="17" max="17" width="9.63"/>
    <col customWidth="1" min="18" max="26" width="8.63"/>
  </cols>
  <sheetData>
    <row r="1" ht="12.75" customHeight="1">
      <c r="A1" s="49" t="s">
        <v>120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</row>
    <row r="2" ht="12.75" customHeight="1">
      <c r="A2" s="33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ht="12.75" customHeight="1">
      <c r="A3" s="9" t="s">
        <v>3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</row>
    <row r="4" ht="12.75" customHeight="1">
      <c r="A4" s="34" t="s">
        <v>4</v>
      </c>
      <c r="B4" s="34" t="s">
        <v>5</v>
      </c>
      <c r="C4" s="34" t="s">
        <v>6</v>
      </c>
      <c r="D4" s="50" t="s">
        <v>122</v>
      </c>
      <c r="E4" s="7"/>
      <c r="F4" s="51" t="s">
        <v>123</v>
      </c>
      <c r="G4" s="7"/>
      <c r="H4" s="52" t="s">
        <v>9</v>
      </c>
      <c r="I4" s="7"/>
      <c r="J4" s="53" t="s">
        <v>10</v>
      </c>
      <c r="K4" s="7"/>
      <c r="L4" s="54" t="s">
        <v>11</v>
      </c>
      <c r="M4" s="7"/>
      <c r="N4" s="55" t="s">
        <v>12</v>
      </c>
      <c r="O4" s="7"/>
      <c r="P4" s="56" t="s">
        <v>13</v>
      </c>
      <c r="Q4" s="7"/>
    </row>
    <row r="5" ht="31.5" customHeight="1">
      <c r="A5" s="37"/>
      <c r="B5" s="37"/>
      <c r="C5" s="37"/>
      <c r="D5" s="57" t="s">
        <v>140</v>
      </c>
      <c r="E5" s="57" t="s">
        <v>141</v>
      </c>
      <c r="F5" s="58" t="s">
        <v>140</v>
      </c>
      <c r="G5" s="58" t="s">
        <v>141</v>
      </c>
      <c r="H5" s="59" t="s">
        <v>140</v>
      </c>
      <c r="I5" s="59" t="s">
        <v>141</v>
      </c>
      <c r="J5" s="60" t="s">
        <v>140</v>
      </c>
      <c r="K5" s="60" t="s">
        <v>141</v>
      </c>
      <c r="L5" s="61" t="s">
        <v>140</v>
      </c>
      <c r="M5" s="61" t="s">
        <v>141</v>
      </c>
      <c r="N5" s="62" t="s">
        <v>140</v>
      </c>
      <c r="O5" s="62" t="s">
        <v>141</v>
      </c>
      <c r="P5" s="63" t="s">
        <v>140</v>
      </c>
      <c r="Q5" s="63" t="s">
        <v>141</v>
      </c>
    </row>
    <row r="6" ht="12.75" customHeight="1">
      <c r="A6" s="16">
        <v>1.0</v>
      </c>
      <c r="B6" s="16" t="s">
        <v>20</v>
      </c>
      <c r="C6" s="38" t="s">
        <v>125</v>
      </c>
      <c r="D6" s="64">
        <v>2.5</v>
      </c>
      <c r="E6" s="65"/>
      <c r="F6" s="64">
        <v>2.5</v>
      </c>
      <c r="G6" s="65"/>
      <c r="H6" s="64">
        <v>2.5</v>
      </c>
      <c r="I6" s="65"/>
      <c r="J6" s="64">
        <v>2.5</v>
      </c>
      <c r="K6" s="65"/>
      <c r="L6" s="64">
        <v>2.5</v>
      </c>
      <c r="M6" s="65"/>
      <c r="N6" s="64">
        <v>2.5</v>
      </c>
      <c r="O6" s="65"/>
      <c r="P6" s="64">
        <v>2.5</v>
      </c>
      <c r="Q6" s="65"/>
    </row>
    <row r="7" ht="12.75" customHeight="1">
      <c r="A7" s="23">
        <v>2.0</v>
      </c>
      <c r="B7" s="24" t="s">
        <v>22</v>
      </c>
      <c r="C7" s="25" t="s">
        <v>23</v>
      </c>
      <c r="D7" s="64">
        <v>2.5</v>
      </c>
      <c r="E7" s="65"/>
      <c r="F7" s="64">
        <v>2.5</v>
      </c>
      <c r="G7" s="65"/>
      <c r="H7" s="64">
        <v>2.5</v>
      </c>
      <c r="I7" s="65"/>
      <c r="J7" s="64">
        <v>2.5</v>
      </c>
      <c r="K7" s="65"/>
      <c r="L7" s="64">
        <v>2.5</v>
      </c>
      <c r="M7" s="65"/>
      <c r="N7" s="64">
        <v>2.5</v>
      </c>
      <c r="O7" s="65"/>
      <c r="P7" s="64">
        <v>2.5</v>
      </c>
      <c r="Q7" s="65"/>
    </row>
    <row r="8" ht="12.75" customHeight="1">
      <c r="A8" s="23">
        <v>3.0</v>
      </c>
      <c r="B8" s="24" t="s">
        <v>24</v>
      </c>
      <c r="C8" s="25" t="s">
        <v>25</v>
      </c>
      <c r="D8" s="64">
        <v>2.5</v>
      </c>
      <c r="E8" s="65"/>
      <c r="F8" s="64">
        <v>2.5</v>
      </c>
      <c r="G8" s="65"/>
      <c r="H8" s="64">
        <v>2.5</v>
      </c>
      <c r="I8" s="65"/>
      <c r="J8" s="64">
        <v>2.5</v>
      </c>
      <c r="K8" s="65"/>
      <c r="L8" s="64">
        <v>2.5</v>
      </c>
      <c r="M8" s="65"/>
      <c r="N8" s="64">
        <v>2.5</v>
      </c>
      <c r="O8" s="65"/>
      <c r="P8" s="64">
        <v>2.5</v>
      </c>
      <c r="Q8" s="65"/>
    </row>
    <row r="9" ht="12.75" customHeight="1">
      <c r="A9" s="23">
        <v>4.0</v>
      </c>
      <c r="B9" s="24" t="s">
        <v>26</v>
      </c>
      <c r="C9" s="25" t="s">
        <v>27</v>
      </c>
      <c r="D9" s="64">
        <v>2.5</v>
      </c>
      <c r="E9" s="65"/>
      <c r="F9" s="64">
        <v>2.5</v>
      </c>
      <c r="G9" s="65"/>
      <c r="H9" s="64">
        <v>2.5</v>
      </c>
      <c r="I9" s="65"/>
      <c r="J9" s="64">
        <v>2.5</v>
      </c>
      <c r="K9" s="65"/>
      <c r="L9" s="64">
        <v>2.5</v>
      </c>
      <c r="M9" s="65"/>
      <c r="N9" s="64">
        <v>2.5</v>
      </c>
      <c r="O9" s="65"/>
      <c r="P9" s="64">
        <v>2.5</v>
      </c>
      <c r="Q9" s="65"/>
    </row>
    <row r="10" ht="12.75" customHeight="1">
      <c r="A10" s="23">
        <v>5.0</v>
      </c>
      <c r="B10" s="24" t="s">
        <v>28</v>
      </c>
      <c r="C10" s="25" t="s">
        <v>29</v>
      </c>
      <c r="D10" s="64">
        <v>2.5</v>
      </c>
      <c r="E10" s="65"/>
      <c r="F10" s="64">
        <v>2.5</v>
      </c>
      <c r="G10" s="65"/>
      <c r="H10" s="64">
        <v>2.5</v>
      </c>
      <c r="I10" s="65"/>
      <c r="J10" s="64">
        <v>2.5</v>
      </c>
      <c r="K10" s="65"/>
      <c r="L10" s="64">
        <v>1.0</v>
      </c>
      <c r="M10" s="65"/>
      <c r="N10" s="64">
        <v>2.5</v>
      </c>
      <c r="O10" s="65"/>
      <c r="P10" s="64">
        <v>2.5</v>
      </c>
      <c r="Q10" s="65"/>
    </row>
    <row r="11" ht="12.75" customHeight="1">
      <c r="A11" s="23">
        <v>6.0</v>
      </c>
      <c r="B11" s="24" t="s">
        <v>30</v>
      </c>
      <c r="C11" s="25" t="s">
        <v>31</v>
      </c>
      <c r="D11" s="64">
        <v>2.5</v>
      </c>
      <c r="E11" s="65"/>
      <c r="F11" s="64">
        <v>2.5</v>
      </c>
      <c r="G11" s="65"/>
      <c r="H11" s="64">
        <v>2.5</v>
      </c>
      <c r="I11" s="65"/>
      <c r="J11" s="64">
        <v>2.5</v>
      </c>
      <c r="K11" s="65"/>
      <c r="L11" s="64">
        <v>2.5</v>
      </c>
      <c r="M11" s="65"/>
      <c r="N11" s="64">
        <v>2.5</v>
      </c>
      <c r="O11" s="65"/>
      <c r="P11" s="64">
        <v>2.5</v>
      </c>
      <c r="Q11" s="65"/>
    </row>
    <row r="12" ht="12.75" customHeight="1">
      <c r="A12" s="23">
        <v>7.0</v>
      </c>
      <c r="B12" s="24" t="s">
        <v>32</v>
      </c>
      <c r="C12" s="25" t="s">
        <v>33</v>
      </c>
      <c r="D12" s="64">
        <v>2.5</v>
      </c>
      <c r="E12" s="65"/>
      <c r="F12" s="64">
        <v>1.5</v>
      </c>
      <c r="G12" s="65"/>
      <c r="H12" s="64">
        <v>2.5</v>
      </c>
      <c r="I12" s="65"/>
      <c r="J12" s="64">
        <v>2.5</v>
      </c>
      <c r="K12" s="65"/>
      <c r="L12" s="64">
        <v>2.5</v>
      </c>
      <c r="M12" s="65"/>
      <c r="N12" s="64">
        <v>2.5</v>
      </c>
      <c r="O12" s="65"/>
      <c r="P12" s="64">
        <v>2.5</v>
      </c>
      <c r="Q12" s="65"/>
    </row>
    <row r="13" ht="12.75" customHeight="1">
      <c r="A13" s="23">
        <v>8.0</v>
      </c>
      <c r="B13" s="24" t="s">
        <v>34</v>
      </c>
      <c r="C13" s="25" t="s">
        <v>35</v>
      </c>
      <c r="D13" s="64">
        <v>2.5</v>
      </c>
      <c r="E13" s="65"/>
      <c r="F13" s="64">
        <v>2.0</v>
      </c>
      <c r="G13" s="65"/>
      <c r="H13" s="64">
        <v>2.5</v>
      </c>
      <c r="I13" s="65"/>
      <c r="J13" s="64">
        <v>2.5</v>
      </c>
      <c r="K13" s="65"/>
      <c r="L13" s="64">
        <v>1.0</v>
      </c>
      <c r="M13" s="65"/>
      <c r="N13" s="64">
        <v>2.5</v>
      </c>
      <c r="O13" s="65"/>
      <c r="P13" s="64">
        <v>2.5</v>
      </c>
      <c r="Q13" s="65"/>
    </row>
    <row r="14" ht="12.75" customHeight="1">
      <c r="A14" s="23">
        <v>9.0</v>
      </c>
      <c r="B14" s="24" t="s">
        <v>36</v>
      </c>
      <c r="C14" s="25" t="s">
        <v>37</v>
      </c>
      <c r="D14" s="64">
        <v>2.5</v>
      </c>
      <c r="E14" s="65"/>
      <c r="F14" s="64">
        <v>2.5</v>
      </c>
      <c r="G14" s="65"/>
      <c r="H14" s="64">
        <v>2.5</v>
      </c>
      <c r="I14" s="65"/>
      <c r="J14" s="64">
        <v>2.5</v>
      </c>
      <c r="K14" s="65"/>
      <c r="L14" s="64">
        <v>2.5</v>
      </c>
      <c r="M14" s="65"/>
      <c r="N14" s="64">
        <v>2.5</v>
      </c>
      <c r="O14" s="65"/>
      <c r="P14" s="64">
        <v>2.5</v>
      </c>
      <c r="Q14" s="65"/>
    </row>
    <row r="15" ht="12.75" customHeight="1">
      <c r="A15" s="23">
        <v>10.0</v>
      </c>
      <c r="B15" s="24" t="s">
        <v>38</v>
      </c>
      <c r="C15" s="25" t="s">
        <v>39</v>
      </c>
      <c r="D15" s="64">
        <v>2.5</v>
      </c>
      <c r="E15" s="65"/>
      <c r="F15" s="64">
        <v>2.5</v>
      </c>
      <c r="G15" s="65"/>
      <c r="H15" s="64">
        <v>2.5</v>
      </c>
      <c r="I15" s="65"/>
      <c r="J15" s="64">
        <v>2.5</v>
      </c>
      <c r="K15" s="65"/>
      <c r="L15" s="64">
        <v>2.5</v>
      </c>
      <c r="M15" s="65"/>
      <c r="N15" s="64">
        <v>2.5</v>
      </c>
      <c r="O15" s="65"/>
      <c r="P15" s="64">
        <v>2.5</v>
      </c>
      <c r="Q15" s="65"/>
    </row>
    <row r="16" ht="12.75" customHeight="1">
      <c r="A16" s="23">
        <v>11.0</v>
      </c>
      <c r="B16" s="24" t="s">
        <v>40</v>
      </c>
      <c r="C16" s="25" t="s">
        <v>41</v>
      </c>
      <c r="D16" s="64">
        <v>2.5</v>
      </c>
      <c r="E16" s="65"/>
      <c r="F16" s="64">
        <v>2.5</v>
      </c>
      <c r="G16" s="65"/>
      <c r="H16" s="64">
        <v>2.5</v>
      </c>
      <c r="I16" s="65"/>
      <c r="J16" s="64">
        <v>2.5</v>
      </c>
      <c r="K16" s="65"/>
      <c r="L16" s="64">
        <v>2.5</v>
      </c>
      <c r="M16" s="65"/>
      <c r="N16" s="64">
        <v>2.5</v>
      </c>
      <c r="O16" s="65"/>
      <c r="P16" s="64">
        <v>2.5</v>
      </c>
      <c r="Q16" s="65"/>
    </row>
    <row r="17" ht="12.75" customHeight="1">
      <c r="A17" s="23">
        <v>12.0</v>
      </c>
      <c r="B17" s="24" t="s">
        <v>42</v>
      </c>
      <c r="C17" s="25" t="s">
        <v>43</v>
      </c>
      <c r="D17" s="64">
        <v>2.5</v>
      </c>
      <c r="E17" s="65"/>
      <c r="F17" s="64">
        <v>2.5</v>
      </c>
      <c r="G17" s="65"/>
      <c r="H17" s="64">
        <v>2.5</v>
      </c>
      <c r="I17" s="65"/>
      <c r="J17" s="64">
        <v>2.5</v>
      </c>
      <c r="K17" s="65"/>
      <c r="L17" s="64">
        <v>2.5</v>
      </c>
      <c r="M17" s="65"/>
      <c r="N17" s="64">
        <v>2.5</v>
      </c>
      <c r="O17" s="65"/>
      <c r="P17" s="64">
        <v>2.5</v>
      </c>
      <c r="Q17" s="65"/>
    </row>
    <row r="18" ht="12.75" customHeight="1">
      <c r="A18" s="23">
        <v>13.0</v>
      </c>
      <c r="B18" s="24" t="s">
        <v>44</v>
      </c>
      <c r="C18" s="25" t="s">
        <v>45</v>
      </c>
      <c r="D18" s="64">
        <v>2.5</v>
      </c>
      <c r="E18" s="65"/>
      <c r="F18" s="64">
        <v>2.5</v>
      </c>
      <c r="G18" s="65"/>
      <c r="H18" s="64">
        <v>2.5</v>
      </c>
      <c r="I18" s="65"/>
      <c r="J18" s="64">
        <v>2.5</v>
      </c>
      <c r="K18" s="65"/>
      <c r="L18" s="64">
        <v>2.5</v>
      </c>
      <c r="M18" s="65"/>
      <c r="N18" s="64">
        <v>2.5</v>
      </c>
      <c r="O18" s="65"/>
      <c r="P18" s="64">
        <v>2.5</v>
      </c>
      <c r="Q18" s="65"/>
    </row>
    <row r="19" ht="12.75" customHeight="1">
      <c r="A19" s="23">
        <v>14.0</v>
      </c>
      <c r="B19" s="24" t="s">
        <v>46</v>
      </c>
      <c r="C19" s="25" t="s">
        <v>47</v>
      </c>
      <c r="D19" s="64">
        <v>2.5</v>
      </c>
      <c r="E19" s="65"/>
      <c r="F19" s="64">
        <v>2.5</v>
      </c>
      <c r="G19" s="65"/>
      <c r="H19" s="64">
        <v>2.5</v>
      </c>
      <c r="I19" s="65"/>
      <c r="J19" s="64">
        <v>2.5</v>
      </c>
      <c r="K19" s="65"/>
      <c r="L19" s="64">
        <v>2.5</v>
      </c>
      <c r="M19" s="65"/>
      <c r="N19" s="64">
        <v>2.5</v>
      </c>
      <c r="O19" s="65"/>
      <c r="P19" s="64">
        <v>2.5</v>
      </c>
      <c r="Q19" s="65"/>
    </row>
    <row r="20" ht="12.75" customHeight="1">
      <c r="A20" s="23">
        <v>15.0</v>
      </c>
      <c r="B20" s="24" t="s">
        <v>48</v>
      </c>
      <c r="C20" s="25" t="s">
        <v>49</v>
      </c>
      <c r="D20" s="64">
        <v>2.5</v>
      </c>
      <c r="E20" s="65"/>
      <c r="F20" s="64">
        <v>2.5</v>
      </c>
      <c r="G20" s="65"/>
      <c r="H20" s="64">
        <v>2.5</v>
      </c>
      <c r="I20" s="65"/>
      <c r="J20" s="64">
        <v>2.5</v>
      </c>
      <c r="K20" s="65"/>
      <c r="L20" s="64">
        <v>1.0</v>
      </c>
      <c r="M20" s="65"/>
      <c r="N20" s="64">
        <v>2.5</v>
      </c>
      <c r="O20" s="65"/>
      <c r="P20" s="64">
        <v>2.5</v>
      </c>
      <c r="Q20" s="65"/>
    </row>
    <row r="21" ht="12.75" customHeight="1">
      <c r="A21" s="23">
        <v>16.0</v>
      </c>
      <c r="B21" s="24" t="s">
        <v>50</v>
      </c>
      <c r="C21" s="25" t="s">
        <v>51</v>
      </c>
      <c r="D21" s="64">
        <v>2.5</v>
      </c>
      <c r="E21" s="65"/>
      <c r="F21" s="64">
        <v>2.5</v>
      </c>
      <c r="G21" s="65"/>
      <c r="H21" s="64">
        <v>2.5</v>
      </c>
      <c r="I21" s="65"/>
      <c r="J21" s="64">
        <v>2.5</v>
      </c>
      <c r="K21" s="65"/>
      <c r="L21" s="64">
        <v>2.5</v>
      </c>
      <c r="M21" s="65"/>
      <c r="N21" s="64">
        <v>2.5</v>
      </c>
      <c r="O21" s="65"/>
      <c r="P21" s="64">
        <v>2.5</v>
      </c>
      <c r="Q21" s="65"/>
    </row>
    <row r="22" ht="12.75" customHeight="1">
      <c r="A22" s="23">
        <v>17.0</v>
      </c>
      <c r="B22" s="24" t="s">
        <v>52</v>
      </c>
      <c r="C22" s="25" t="s">
        <v>53</v>
      </c>
      <c r="D22" s="64">
        <v>2.5</v>
      </c>
      <c r="E22" s="65"/>
      <c r="F22" s="64">
        <v>2.5</v>
      </c>
      <c r="G22" s="65"/>
      <c r="H22" s="64">
        <v>2.5</v>
      </c>
      <c r="I22" s="65"/>
      <c r="J22" s="64">
        <v>2.5</v>
      </c>
      <c r="K22" s="65"/>
      <c r="L22" s="64">
        <v>2.5</v>
      </c>
      <c r="M22" s="65"/>
      <c r="N22" s="64">
        <v>2.5</v>
      </c>
      <c r="O22" s="65"/>
      <c r="P22" s="64">
        <v>2.5</v>
      </c>
      <c r="Q22" s="65"/>
    </row>
    <row r="23" ht="12.75" customHeight="1">
      <c r="A23" s="23">
        <v>18.0</v>
      </c>
      <c r="B23" s="24" t="s">
        <v>54</v>
      </c>
      <c r="C23" s="25" t="s">
        <v>55</v>
      </c>
      <c r="D23" s="64">
        <v>2.5</v>
      </c>
      <c r="E23" s="65"/>
      <c r="F23" s="64">
        <v>2.5</v>
      </c>
      <c r="G23" s="65"/>
      <c r="H23" s="64">
        <v>2.5</v>
      </c>
      <c r="I23" s="65"/>
      <c r="J23" s="64">
        <v>2.5</v>
      </c>
      <c r="K23" s="65"/>
      <c r="L23" s="64">
        <v>2.5</v>
      </c>
      <c r="M23" s="65"/>
      <c r="N23" s="64">
        <v>2.5</v>
      </c>
      <c r="O23" s="65"/>
      <c r="P23" s="64">
        <v>2.5</v>
      </c>
      <c r="Q23" s="65"/>
    </row>
    <row r="24" ht="12.75" customHeight="1">
      <c r="A24" s="23">
        <v>19.0</v>
      </c>
      <c r="B24" s="24" t="s">
        <v>56</v>
      </c>
      <c r="C24" s="25" t="s">
        <v>57</v>
      </c>
      <c r="D24" s="64">
        <v>2.5</v>
      </c>
      <c r="E24" s="65"/>
      <c r="F24" s="64">
        <v>2.5</v>
      </c>
      <c r="G24" s="65"/>
      <c r="H24" s="64">
        <v>2.5</v>
      </c>
      <c r="I24" s="65"/>
      <c r="J24" s="64">
        <v>2.5</v>
      </c>
      <c r="K24" s="65"/>
      <c r="L24" s="64">
        <v>2.5</v>
      </c>
      <c r="M24" s="65"/>
      <c r="N24" s="64">
        <v>2.5</v>
      </c>
      <c r="O24" s="65"/>
      <c r="P24" s="64">
        <v>2.5</v>
      </c>
      <c r="Q24" s="65"/>
    </row>
    <row r="25" ht="12.75" customHeight="1">
      <c r="A25" s="23">
        <v>20.0</v>
      </c>
      <c r="B25" s="24" t="s">
        <v>58</v>
      </c>
      <c r="C25" s="25" t="s">
        <v>59</v>
      </c>
      <c r="D25" s="64">
        <v>2.5</v>
      </c>
      <c r="E25" s="65"/>
      <c r="F25" s="64">
        <v>2.5</v>
      </c>
      <c r="G25" s="65"/>
      <c r="H25" s="64">
        <v>2.5</v>
      </c>
      <c r="I25" s="65"/>
      <c r="J25" s="64">
        <v>2.5</v>
      </c>
      <c r="K25" s="65"/>
      <c r="L25" s="64">
        <v>2.5</v>
      </c>
      <c r="M25" s="65"/>
      <c r="N25" s="64">
        <v>2.5</v>
      </c>
      <c r="O25" s="65"/>
      <c r="P25" s="64">
        <v>2.5</v>
      </c>
      <c r="Q25" s="65"/>
    </row>
    <row r="26" ht="12.75" customHeight="1">
      <c r="A26" s="23">
        <v>21.0</v>
      </c>
      <c r="B26" s="24" t="s">
        <v>60</v>
      </c>
      <c r="C26" s="25" t="s">
        <v>61</v>
      </c>
      <c r="D26" s="64">
        <v>2.5</v>
      </c>
      <c r="E26" s="65"/>
      <c r="F26" s="64">
        <v>2.5</v>
      </c>
      <c r="G26" s="65"/>
      <c r="H26" s="64">
        <v>2.5</v>
      </c>
      <c r="I26" s="65"/>
      <c r="J26" s="64">
        <v>2.5</v>
      </c>
      <c r="K26" s="65"/>
      <c r="L26" s="64">
        <v>2.5</v>
      </c>
      <c r="M26" s="65"/>
      <c r="N26" s="64">
        <v>2.5</v>
      </c>
      <c r="O26" s="65"/>
      <c r="P26" s="64">
        <v>2.5</v>
      </c>
      <c r="Q26" s="65"/>
    </row>
    <row r="27" ht="12.75" customHeight="1">
      <c r="A27" s="23">
        <v>22.0</v>
      </c>
      <c r="B27" s="24" t="s">
        <v>62</v>
      </c>
      <c r="C27" s="25" t="s">
        <v>63</v>
      </c>
      <c r="D27" s="64">
        <v>2.5</v>
      </c>
      <c r="E27" s="65"/>
      <c r="F27" s="64">
        <v>2.5</v>
      </c>
      <c r="G27" s="65"/>
      <c r="H27" s="64">
        <v>2.5</v>
      </c>
      <c r="I27" s="65"/>
      <c r="J27" s="64">
        <v>2.5</v>
      </c>
      <c r="K27" s="65"/>
      <c r="L27" s="64">
        <v>2.5</v>
      </c>
      <c r="M27" s="65"/>
      <c r="N27" s="64">
        <v>2.5</v>
      </c>
      <c r="O27" s="65"/>
      <c r="P27" s="64">
        <v>2.5</v>
      </c>
      <c r="Q27" s="65"/>
    </row>
    <row r="28" ht="12.75" customHeight="1">
      <c r="A28" s="23">
        <v>23.0</v>
      </c>
      <c r="B28" s="24" t="s">
        <v>64</v>
      </c>
      <c r="C28" s="25" t="s">
        <v>65</v>
      </c>
      <c r="D28" s="64">
        <v>2.5</v>
      </c>
      <c r="E28" s="65"/>
      <c r="F28" s="64">
        <v>2.5</v>
      </c>
      <c r="G28" s="65"/>
      <c r="H28" s="64">
        <v>2.5</v>
      </c>
      <c r="I28" s="65"/>
      <c r="J28" s="64">
        <v>2.5</v>
      </c>
      <c r="K28" s="65"/>
      <c r="L28" s="64">
        <v>2.5</v>
      </c>
      <c r="M28" s="65"/>
      <c r="N28" s="64">
        <v>2.5</v>
      </c>
      <c r="O28" s="65"/>
      <c r="P28" s="64">
        <v>2.5</v>
      </c>
      <c r="Q28" s="65"/>
    </row>
    <row r="29" ht="12.75" customHeight="1">
      <c r="A29" s="23">
        <v>24.0</v>
      </c>
      <c r="B29" s="24" t="s">
        <v>66</v>
      </c>
      <c r="C29" s="25" t="s">
        <v>67</v>
      </c>
      <c r="D29" s="64">
        <v>2.5</v>
      </c>
      <c r="E29" s="65"/>
      <c r="F29" s="64">
        <v>0.0</v>
      </c>
      <c r="G29" s="65"/>
      <c r="H29" s="64">
        <v>2.5</v>
      </c>
      <c r="I29" s="65"/>
      <c r="J29" s="64">
        <v>2.5</v>
      </c>
      <c r="K29" s="65"/>
      <c r="L29" s="64">
        <v>2.5</v>
      </c>
      <c r="M29" s="65"/>
      <c r="N29" s="64">
        <v>2.5</v>
      </c>
      <c r="O29" s="65"/>
      <c r="P29" s="64">
        <v>2.5</v>
      </c>
      <c r="Q29" s="65"/>
    </row>
    <row r="30" ht="12.75" customHeight="1">
      <c r="A30" s="23">
        <v>25.0</v>
      </c>
      <c r="B30" s="24" t="s">
        <v>68</v>
      </c>
      <c r="C30" s="25" t="s">
        <v>69</v>
      </c>
      <c r="D30" s="64">
        <v>1.0</v>
      </c>
      <c r="E30" s="65"/>
      <c r="F30" s="64">
        <v>2.5</v>
      </c>
      <c r="G30" s="65"/>
      <c r="H30" s="64">
        <v>2.5</v>
      </c>
      <c r="I30" s="65"/>
      <c r="J30" s="64">
        <v>2.5</v>
      </c>
      <c r="K30" s="65"/>
      <c r="L30" s="64">
        <v>1.0</v>
      </c>
      <c r="M30" s="65"/>
      <c r="N30" s="64">
        <v>2.5</v>
      </c>
      <c r="O30" s="65"/>
      <c r="P30" s="64">
        <v>2.5</v>
      </c>
      <c r="Q30" s="65"/>
    </row>
    <row r="31" ht="12.75" customHeight="1">
      <c r="A31" s="23">
        <v>26.0</v>
      </c>
      <c r="B31" s="24" t="s">
        <v>70</v>
      </c>
      <c r="C31" s="25" t="s">
        <v>71</v>
      </c>
      <c r="D31" s="64">
        <v>0.0</v>
      </c>
      <c r="E31" s="65"/>
      <c r="F31" s="64">
        <v>2.5</v>
      </c>
      <c r="G31" s="65"/>
      <c r="H31" s="64">
        <v>2.5</v>
      </c>
      <c r="I31" s="65"/>
      <c r="J31" s="64">
        <v>2.5</v>
      </c>
      <c r="K31" s="65"/>
      <c r="L31" s="64">
        <v>2.5</v>
      </c>
      <c r="M31" s="65"/>
      <c r="N31" s="64">
        <v>2.5</v>
      </c>
      <c r="O31" s="65"/>
      <c r="P31" s="64">
        <v>2.5</v>
      </c>
      <c r="Q31" s="65"/>
    </row>
    <row r="32" ht="12.75" customHeight="1">
      <c r="A32" s="23">
        <v>27.0</v>
      </c>
      <c r="B32" s="24" t="s">
        <v>72</v>
      </c>
      <c r="C32" s="25" t="s">
        <v>73</v>
      </c>
      <c r="D32" s="64">
        <v>1.5</v>
      </c>
      <c r="E32" s="65"/>
      <c r="F32" s="64">
        <v>1.5</v>
      </c>
      <c r="G32" s="65"/>
      <c r="H32" s="64">
        <v>2.5</v>
      </c>
      <c r="I32" s="65"/>
      <c r="J32" s="64">
        <v>2.5</v>
      </c>
      <c r="K32" s="65"/>
      <c r="L32" s="64">
        <v>1.0</v>
      </c>
      <c r="M32" s="65"/>
      <c r="N32" s="64">
        <v>2.5</v>
      </c>
      <c r="O32" s="65"/>
      <c r="P32" s="64">
        <v>2.5</v>
      </c>
      <c r="Q32" s="65"/>
    </row>
    <row r="33" ht="12.75" customHeight="1">
      <c r="A33" s="23">
        <v>28.0</v>
      </c>
      <c r="B33" s="24" t="s">
        <v>74</v>
      </c>
      <c r="C33" s="25" t="s">
        <v>75</v>
      </c>
      <c r="D33" s="64">
        <v>2.5</v>
      </c>
      <c r="E33" s="65"/>
      <c r="F33" s="64">
        <v>2.5</v>
      </c>
      <c r="G33" s="65"/>
      <c r="H33" s="64">
        <v>2.5</v>
      </c>
      <c r="I33" s="65"/>
      <c r="J33" s="64">
        <v>2.5</v>
      </c>
      <c r="K33" s="65"/>
      <c r="L33" s="64">
        <v>2.5</v>
      </c>
      <c r="M33" s="65"/>
      <c r="N33" s="64">
        <v>2.5</v>
      </c>
      <c r="O33" s="65"/>
      <c r="P33" s="64">
        <v>2.5</v>
      </c>
      <c r="Q33" s="65"/>
    </row>
    <row r="34" ht="12.75" customHeight="1">
      <c r="A34" s="23">
        <v>29.0</v>
      </c>
      <c r="B34" s="24" t="s">
        <v>76</v>
      </c>
      <c r="C34" s="25" t="s">
        <v>77</v>
      </c>
      <c r="D34" s="64">
        <v>2.5</v>
      </c>
      <c r="E34" s="65"/>
      <c r="F34" s="64">
        <v>2.0</v>
      </c>
      <c r="G34" s="65"/>
      <c r="H34" s="64">
        <v>2.5</v>
      </c>
      <c r="I34" s="65"/>
      <c r="J34" s="64">
        <v>2.5</v>
      </c>
      <c r="K34" s="65"/>
      <c r="L34" s="64">
        <v>2.5</v>
      </c>
      <c r="M34" s="65"/>
      <c r="N34" s="64">
        <v>2.5</v>
      </c>
      <c r="O34" s="65"/>
      <c r="P34" s="64">
        <v>2.5</v>
      </c>
      <c r="Q34" s="65"/>
    </row>
    <row r="35" ht="12.75" customHeight="1">
      <c r="A35" s="23">
        <v>30.0</v>
      </c>
      <c r="B35" s="24" t="s">
        <v>78</v>
      </c>
      <c r="C35" s="25" t="s">
        <v>79</v>
      </c>
      <c r="D35" s="64">
        <v>2.5</v>
      </c>
      <c r="E35" s="65"/>
      <c r="F35" s="64">
        <v>2.5</v>
      </c>
      <c r="G35" s="65"/>
      <c r="H35" s="64">
        <v>2.5</v>
      </c>
      <c r="I35" s="65"/>
      <c r="J35" s="64">
        <v>2.5</v>
      </c>
      <c r="K35" s="65"/>
      <c r="L35" s="64">
        <v>2.5</v>
      </c>
      <c r="M35" s="65"/>
      <c r="N35" s="64">
        <v>2.5</v>
      </c>
      <c r="O35" s="65"/>
      <c r="P35" s="64">
        <v>2.5</v>
      </c>
      <c r="Q35" s="65"/>
    </row>
    <row r="36" ht="12.75" customHeight="1">
      <c r="A36" s="23">
        <v>31.0</v>
      </c>
      <c r="B36" s="24" t="s">
        <v>80</v>
      </c>
      <c r="C36" s="25" t="s">
        <v>81</v>
      </c>
      <c r="D36" s="64">
        <v>1.5</v>
      </c>
      <c r="E36" s="65"/>
      <c r="F36" s="64">
        <v>1.5</v>
      </c>
      <c r="G36" s="65"/>
      <c r="H36" s="64">
        <v>2.5</v>
      </c>
      <c r="I36" s="65"/>
      <c r="J36" s="64">
        <v>2.5</v>
      </c>
      <c r="K36" s="65"/>
      <c r="L36" s="64">
        <v>2.5</v>
      </c>
      <c r="M36" s="65"/>
      <c r="N36" s="64">
        <v>2.5</v>
      </c>
      <c r="O36" s="65"/>
      <c r="P36" s="64">
        <v>2.5</v>
      </c>
      <c r="Q36" s="65"/>
    </row>
    <row r="37" ht="12.75" customHeight="1">
      <c r="A37" s="23">
        <v>32.0</v>
      </c>
      <c r="B37" s="24" t="s">
        <v>82</v>
      </c>
      <c r="C37" s="25" t="s">
        <v>83</v>
      </c>
      <c r="D37" s="64">
        <v>2.5</v>
      </c>
      <c r="E37" s="65"/>
      <c r="F37" s="64">
        <v>2.5</v>
      </c>
      <c r="G37" s="65"/>
      <c r="H37" s="64">
        <v>2.5</v>
      </c>
      <c r="I37" s="65"/>
      <c r="J37" s="64">
        <v>2.5</v>
      </c>
      <c r="K37" s="65"/>
      <c r="L37" s="64">
        <v>2.5</v>
      </c>
      <c r="M37" s="65"/>
      <c r="N37" s="64">
        <v>2.5</v>
      </c>
      <c r="O37" s="65"/>
      <c r="P37" s="64">
        <v>2.5</v>
      </c>
      <c r="Q37" s="65"/>
    </row>
    <row r="38" ht="12.75" customHeight="1">
      <c r="A38" s="23">
        <v>33.0</v>
      </c>
      <c r="B38" s="24" t="s">
        <v>84</v>
      </c>
      <c r="C38" s="25" t="s">
        <v>85</v>
      </c>
      <c r="D38" s="64">
        <v>2.5</v>
      </c>
      <c r="E38" s="65"/>
      <c r="F38" s="64">
        <v>2.5</v>
      </c>
      <c r="G38" s="65"/>
      <c r="H38" s="64">
        <v>2.5</v>
      </c>
      <c r="I38" s="65"/>
      <c r="J38" s="64">
        <v>2.5</v>
      </c>
      <c r="K38" s="65"/>
      <c r="L38" s="64">
        <v>2.5</v>
      </c>
      <c r="M38" s="65"/>
      <c r="N38" s="64">
        <v>2.5</v>
      </c>
      <c r="O38" s="65"/>
      <c r="P38" s="64">
        <v>2.5</v>
      </c>
      <c r="Q38" s="65"/>
    </row>
    <row r="39" ht="12.75" customHeight="1">
      <c r="A39" s="23">
        <v>34.0</v>
      </c>
      <c r="B39" s="24" t="s">
        <v>86</v>
      </c>
      <c r="C39" s="25" t="s">
        <v>87</v>
      </c>
      <c r="D39" s="64">
        <v>2.5</v>
      </c>
      <c r="E39" s="65"/>
      <c r="F39" s="64">
        <v>2.5</v>
      </c>
      <c r="G39" s="65"/>
      <c r="H39" s="64">
        <v>2.5</v>
      </c>
      <c r="I39" s="65"/>
      <c r="J39" s="64">
        <v>2.5</v>
      </c>
      <c r="K39" s="65"/>
      <c r="L39" s="64">
        <v>2.5</v>
      </c>
      <c r="M39" s="65"/>
      <c r="N39" s="64">
        <v>2.5</v>
      </c>
      <c r="O39" s="65"/>
      <c r="P39" s="64">
        <v>2.5</v>
      </c>
      <c r="Q39" s="65"/>
    </row>
    <row r="40" ht="12.75" customHeight="1">
      <c r="A40" s="23">
        <v>35.0</v>
      </c>
      <c r="B40" s="24" t="s">
        <v>88</v>
      </c>
      <c r="C40" s="25" t="s">
        <v>89</v>
      </c>
      <c r="D40" s="64">
        <v>2.5</v>
      </c>
      <c r="E40" s="65"/>
      <c r="F40" s="64">
        <v>2.0</v>
      </c>
      <c r="G40" s="65"/>
      <c r="H40" s="64">
        <v>2.5</v>
      </c>
      <c r="I40" s="65"/>
      <c r="J40" s="64">
        <v>2.5</v>
      </c>
      <c r="K40" s="65"/>
      <c r="L40" s="64">
        <v>2.5</v>
      </c>
      <c r="M40" s="65"/>
      <c r="N40" s="64">
        <v>2.5</v>
      </c>
      <c r="O40" s="65"/>
      <c r="P40" s="64">
        <v>2.5</v>
      </c>
      <c r="Q40" s="65"/>
    </row>
    <row r="41" ht="12.75" customHeight="1">
      <c r="A41" s="23">
        <v>36.0</v>
      </c>
      <c r="B41" s="24" t="s">
        <v>90</v>
      </c>
      <c r="C41" s="25" t="s">
        <v>91</v>
      </c>
      <c r="D41" s="64">
        <v>2.5</v>
      </c>
      <c r="E41" s="65"/>
      <c r="F41" s="64">
        <v>2.0</v>
      </c>
      <c r="G41" s="65"/>
      <c r="H41" s="64">
        <v>2.5</v>
      </c>
      <c r="I41" s="65"/>
      <c r="J41" s="64">
        <v>2.5</v>
      </c>
      <c r="K41" s="65"/>
      <c r="L41" s="64">
        <v>2.5</v>
      </c>
      <c r="M41" s="65"/>
      <c r="N41" s="64">
        <v>2.5</v>
      </c>
      <c r="O41" s="65"/>
      <c r="P41" s="64">
        <v>2.5</v>
      </c>
      <c r="Q41" s="65"/>
    </row>
    <row r="42" ht="12.75" customHeight="1">
      <c r="A42" s="23">
        <v>37.0</v>
      </c>
      <c r="B42" s="24" t="s">
        <v>92</v>
      </c>
      <c r="C42" s="25" t="s">
        <v>93</v>
      </c>
      <c r="D42" s="64">
        <v>2.5</v>
      </c>
      <c r="E42" s="65"/>
      <c r="F42" s="64">
        <v>2.5</v>
      </c>
      <c r="G42" s="65"/>
      <c r="H42" s="64">
        <v>2.5</v>
      </c>
      <c r="I42" s="65"/>
      <c r="J42" s="64">
        <v>2.5</v>
      </c>
      <c r="K42" s="65"/>
      <c r="L42" s="64">
        <v>1.0</v>
      </c>
      <c r="M42" s="65"/>
      <c r="N42" s="64">
        <v>2.5</v>
      </c>
      <c r="O42" s="65"/>
      <c r="P42" s="64">
        <v>2.5</v>
      </c>
      <c r="Q42" s="65"/>
    </row>
    <row r="43" ht="12.75" customHeight="1">
      <c r="A43" s="23">
        <v>38.0</v>
      </c>
      <c r="B43" s="24" t="s">
        <v>94</v>
      </c>
      <c r="C43" s="30" t="s">
        <v>142</v>
      </c>
      <c r="D43" s="64">
        <v>2.5</v>
      </c>
      <c r="E43" s="65"/>
      <c r="F43" s="64">
        <v>2.5</v>
      </c>
      <c r="G43" s="65"/>
      <c r="H43" s="64">
        <v>2.5</v>
      </c>
      <c r="I43" s="65"/>
      <c r="J43" s="64">
        <v>2.5</v>
      </c>
      <c r="K43" s="65"/>
      <c r="L43" s="64">
        <v>1.0</v>
      </c>
      <c r="M43" s="65"/>
      <c r="N43" s="64">
        <v>2.5</v>
      </c>
      <c r="O43" s="65"/>
      <c r="P43" s="64">
        <v>2.5</v>
      </c>
      <c r="Q43" s="65"/>
    </row>
    <row r="44" ht="12.75" customHeight="1">
      <c r="A44" s="23">
        <v>39.0</v>
      </c>
      <c r="B44" s="24" t="s">
        <v>96</v>
      </c>
      <c r="C44" s="30" t="s">
        <v>143</v>
      </c>
      <c r="D44" s="64">
        <v>2.5</v>
      </c>
      <c r="E44" s="65"/>
      <c r="F44" s="64">
        <v>2.5</v>
      </c>
      <c r="G44" s="65"/>
      <c r="H44" s="64">
        <v>2.5</v>
      </c>
      <c r="I44" s="65"/>
      <c r="J44" s="64">
        <v>2.5</v>
      </c>
      <c r="K44" s="65"/>
      <c r="L44" s="64">
        <v>2.5</v>
      </c>
      <c r="M44" s="65"/>
      <c r="N44" s="64">
        <v>2.5</v>
      </c>
      <c r="O44" s="65"/>
      <c r="P44" s="64">
        <v>2.5</v>
      </c>
      <c r="Q44" s="65"/>
    </row>
    <row r="45" ht="12.75" customHeight="1">
      <c r="A45" s="23">
        <v>40.0</v>
      </c>
      <c r="B45" s="24" t="s">
        <v>98</v>
      </c>
      <c r="C45" s="30" t="s">
        <v>144</v>
      </c>
      <c r="D45" s="64">
        <v>2.5</v>
      </c>
      <c r="E45" s="65"/>
      <c r="F45" s="64">
        <v>2.5</v>
      </c>
      <c r="G45" s="65"/>
      <c r="H45" s="64">
        <v>2.5</v>
      </c>
      <c r="I45" s="65"/>
      <c r="J45" s="64">
        <v>2.5</v>
      </c>
      <c r="K45" s="65"/>
      <c r="L45" s="64">
        <v>2.5</v>
      </c>
      <c r="M45" s="65"/>
      <c r="N45" s="64">
        <v>2.5</v>
      </c>
      <c r="O45" s="65"/>
      <c r="P45" s="64">
        <v>2.5</v>
      </c>
      <c r="Q45" s="65"/>
    </row>
    <row r="46" ht="12.75" customHeight="1">
      <c r="A46" s="23">
        <v>41.0</v>
      </c>
      <c r="B46" s="24" t="s">
        <v>100</v>
      </c>
      <c r="C46" s="30" t="s">
        <v>101</v>
      </c>
      <c r="D46" s="64">
        <v>2.5</v>
      </c>
      <c r="E46" s="65"/>
      <c r="F46" s="64">
        <v>2.5</v>
      </c>
      <c r="G46" s="65"/>
      <c r="H46" s="64">
        <v>2.5</v>
      </c>
      <c r="I46" s="65"/>
      <c r="J46" s="64">
        <v>2.5</v>
      </c>
      <c r="K46" s="65"/>
      <c r="L46" s="64">
        <v>2.5</v>
      </c>
      <c r="M46" s="65"/>
      <c r="N46" s="64">
        <v>2.5</v>
      </c>
      <c r="O46" s="65"/>
      <c r="P46" s="64">
        <v>2.5</v>
      </c>
      <c r="Q46" s="65"/>
    </row>
    <row r="47" ht="12.75" customHeight="1">
      <c r="A47" s="23">
        <v>42.0</v>
      </c>
      <c r="B47" s="24" t="s">
        <v>102</v>
      </c>
      <c r="C47" s="30" t="s">
        <v>103</v>
      </c>
      <c r="D47" s="64">
        <v>2.5</v>
      </c>
      <c r="E47" s="65"/>
      <c r="F47" s="64">
        <v>1.5</v>
      </c>
      <c r="G47" s="65"/>
      <c r="H47" s="64">
        <v>2.5</v>
      </c>
      <c r="I47" s="65"/>
      <c r="J47" s="64">
        <v>2.5</v>
      </c>
      <c r="K47" s="65"/>
      <c r="L47" s="64">
        <v>2.5</v>
      </c>
      <c r="M47" s="65"/>
      <c r="N47" s="64">
        <v>2.5</v>
      </c>
      <c r="O47" s="65"/>
      <c r="P47" s="64">
        <v>2.5</v>
      </c>
      <c r="Q47" s="65"/>
    </row>
    <row r="48" ht="12.75" customHeight="1">
      <c r="A48" s="23">
        <v>43.0</v>
      </c>
      <c r="B48" s="24" t="s">
        <v>104</v>
      </c>
      <c r="C48" s="30" t="s">
        <v>105</v>
      </c>
      <c r="D48" s="64">
        <v>2.5</v>
      </c>
      <c r="E48" s="65"/>
      <c r="F48" s="64">
        <v>2.5</v>
      </c>
      <c r="G48" s="65"/>
      <c r="H48" s="64">
        <v>2.5</v>
      </c>
      <c r="I48" s="65"/>
      <c r="J48" s="64">
        <v>2.5</v>
      </c>
      <c r="K48" s="65"/>
      <c r="L48" s="64">
        <v>2.5</v>
      </c>
      <c r="M48" s="65"/>
      <c r="N48" s="64">
        <v>2.5</v>
      </c>
      <c r="O48" s="65"/>
      <c r="P48" s="64">
        <v>2.5</v>
      </c>
      <c r="Q48" s="65"/>
    </row>
    <row r="49" ht="12.75" customHeight="1">
      <c r="A49" s="23">
        <v>44.0</v>
      </c>
      <c r="B49" s="24" t="s">
        <v>106</v>
      </c>
      <c r="C49" s="30" t="s">
        <v>107</v>
      </c>
      <c r="D49" s="64">
        <v>2.5</v>
      </c>
      <c r="E49" s="65"/>
      <c r="F49" s="64">
        <v>2.5</v>
      </c>
      <c r="G49" s="65"/>
      <c r="H49" s="64">
        <v>2.5</v>
      </c>
      <c r="I49" s="65"/>
      <c r="J49" s="64">
        <v>2.5</v>
      </c>
      <c r="K49" s="65"/>
      <c r="L49" s="64">
        <v>2.5</v>
      </c>
      <c r="M49" s="65"/>
      <c r="N49" s="64">
        <v>2.5</v>
      </c>
      <c r="O49" s="65"/>
      <c r="P49" s="64">
        <v>2.5</v>
      </c>
      <c r="Q49" s="65"/>
    </row>
    <row r="50" ht="12.75" customHeight="1">
      <c r="A50" s="23">
        <v>45.0</v>
      </c>
      <c r="B50" s="24" t="s">
        <v>108</v>
      </c>
      <c r="C50" s="30" t="s">
        <v>109</v>
      </c>
      <c r="D50" s="64">
        <v>2.5</v>
      </c>
      <c r="E50" s="65"/>
      <c r="F50" s="64">
        <v>2.5</v>
      </c>
      <c r="G50" s="65"/>
      <c r="H50" s="64">
        <v>2.5</v>
      </c>
      <c r="I50" s="65"/>
      <c r="J50" s="64">
        <v>2.5</v>
      </c>
      <c r="K50" s="65"/>
      <c r="L50" s="64">
        <v>0.0</v>
      </c>
      <c r="M50" s="65"/>
      <c r="N50" s="64">
        <v>2.5</v>
      </c>
      <c r="O50" s="65"/>
      <c r="P50" s="64">
        <v>2.5</v>
      </c>
      <c r="Q50" s="65"/>
    </row>
    <row r="51" ht="12.75" customHeight="1">
      <c r="A51" s="23">
        <v>46.0</v>
      </c>
      <c r="B51" s="24" t="s">
        <v>110</v>
      </c>
      <c r="C51" s="30" t="s">
        <v>111</v>
      </c>
      <c r="D51" s="64">
        <v>2.5</v>
      </c>
      <c r="E51" s="65"/>
      <c r="F51" s="64">
        <v>2.5</v>
      </c>
      <c r="G51" s="65"/>
      <c r="H51" s="64">
        <v>2.5</v>
      </c>
      <c r="I51" s="65"/>
      <c r="J51" s="64">
        <v>2.5</v>
      </c>
      <c r="K51" s="65"/>
      <c r="L51" s="64">
        <v>2.5</v>
      </c>
      <c r="M51" s="65"/>
      <c r="N51" s="64">
        <v>2.5</v>
      </c>
      <c r="O51" s="65"/>
      <c r="P51" s="64">
        <v>2.5</v>
      </c>
      <c r="Q51" s="65"/>
    </row>
    <row r="52" ht="12.75" customHeight="1">
      <c r="A52" s="23">
        <v>47.0</v>
      </c>
      <c r="B52" s="24" t="s">
        <v>112</v>
      </c>
      <c r="C52" s="30" t="s">
        <v>113</v>
      </c>
      <c r="D52" s="64">
        <v>2.5</v>
      </c>
      <c r="E52" s="65"/>
      <c r="F52" s="64">
        <v>2.5</v>
      </c>
      <c r="G52" s="65"/>
      <c r="H52" s="64">
        <v>2.5</v>
      </c>
      <c r="I52" s="65"/>
      <c r="J52" s="64">
        <v>2.5</v>
      </c>
      <c r="K52" s="65"/>
      <c r="L52" s="64">
        <v>2.5</v>
      </c>
      <c r="M52" s="65"/>
      <c r="N52" s="64">
        <v>2.5</v>
      </c>
      <c r="O52" s="65"/>
      <c r="P52" s="64">
        <v>2.5</v>
      </c>
      <c r="Q52" s="65"/>
    </row>
    <row r="53" ht="12.75" customHeight="1">
      <c r="A53" s="23">
        <v>48.0</v>
      </c>
      <c r="B53" s="24" t="s">
        <v>114</v>
      </c>
      <c r="C53" s="30" t="s">
        <v>115</v>
      </c>
      <c r="D53" s="64">
        <v>2.5</v>
      </c>
      <c r="E53" s="65"/>
      <c r="F53" s="64">
        <v>1.5</v>
      </c>
      <c r="G53" s="65"/>
      <c r="H53" s="64">
        <v>0.0</v>
      </c>
      <c r="I53" s="65"/>
      <c r="J53" s="64">
        <v>0.0</v>
      </c>
      <c r="K53" s="65"/>
      <c r="L53" s="64">
        <v>0.0</v>
      </c>
      <c r="M53" s="65"/>
      <c r="N53" s="64">
        <v>2.5</v>
      </c>
      <c r="O53" s="65"/>
      <c r="P53" s="64">
        <v>2.5</v>
      </c>
      <c r="Q53" s="65"/>
    </row>
    <row r="54" ht="12.75" customHeight="1">
      <c r="A54" s="23">
        <v>49.0</v>
      </c>
      <c r="B54" s="24" t="s">
        <v>116</v>
      </c>
      <c r="C54" s="30" t="s">
        <v>117</v>
      </c>
      <c r="D54" s="64">
        <v>2.5</v>
      </c>
      <c r="E54" s="65"/>
      <c r="F54" s="64">
        <v>2.5</v>
      </c>
      <c r="G54" s="65"/>
      <c r="H54" s="64">
        <v>2.5</v>
      </c>
      <c r="I54" s="65"/>
      <c r="J54" s="64">
        <v>2.5</v>
      </c>
      <c r="K54" s="65"/>
      <c r="L54" s="64">
        <v>2.5</v>
      </c>
      <c r="M54" s="65"/>
      <c r="N54" s="64">
        <v>2.5</v>
      </c>
      <c r="O54" s="65"/>
      <c r="P54" s="64">
        <v>2.5</v>
      </c>
      <c r="Q54" s="65"/>
    </row>
    <row r="55" ht="12.75" customHeight="1">
      <c r="A55" s="23">
        <v>50.0</v>
      </c>
      <c r="B55" s="24" t="s">
        <v>118</v>
      </c>
      <c r="C55" s="30" t="s">
        <v>119</v>
      </c>
      <c r="D55" s="64">
        <v>2.5</v>
      </c>
      <c r="E55" s="65"/>
      <c r="F55" s="64">
        <v>0.0</v>
      </c>
      <c r="G55" s="65"/>
      <c r="H55" s="64">
        <v>0.0</v>
      </c>
      <c r="I55" s="65"/>
      <c r="J55" s="64">
        <v>0.0</v>
      </c>
      <c r="K55" s="65"/>
      <c r="L55" s="64">
        <v>0.0</v>
      </c>
      <c r="M55" s="65"/>
      <c r="N55" s="64">
        <v>0.0</v>
      </c>
      <c r="O55" s="65"/>
      <c r="P55" s="64">
        <v>2.5</v>
      </c>
      <c r="Q55" s="65"/>
    </row>
    <row r="56" ht="12.75" customHeight="1"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</row>
    <row r="57" ht="12.75" customHeight="1"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</row>
    <row r="58" ht="12.75" customHeight="1"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</row>
    <row r="59" ht="12.75" customHeight="1"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</row>
    <row r="60" ht="12.75" customHeight="1"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</row>
    <row r="61" ht="12.75" customHeight="1"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</row>
    <row r="62" ht="12.75" customHeight="1"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</row>
    <row r="63" ht="12.75" customHeight="1"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</row>
    <row r="64" ht="12.75" customHeight="1"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</row>
    <row r="65" ht="12.75" customHeight="1"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</row>
    <row r="66" ht="12.75" customHeight="1"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</row>
    <row r="67" ht="12.75" customHeight="1"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</row>
    <row r="68" ht="12.75" customHeight="1"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</row>
    <row r="69" ht="12.75" customHeight="1"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</row>
    <row r="70" ht="12.75" customHeight="1"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</row>
    <row r="71" ht="12.75" customHeight="1"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</row>
    <row r="72" ht="12.75" customHeight="1"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</row>
    <row r="73" ht="12.75" customHeight="1"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</row>
    <row r="74" ht="12.75" customHeight="1"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</row>
    <row r="75" ht="12.75" customHeight="1"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</row>
    <row r="76" ht="12.75" customHeight="1"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</row>
    <row r="77" ht="12.75" customHeight="1"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</row>
    <row r="78" ht="12.75" customHeight="1"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</row>
    <row r="79" ht="12.75" customHeight="1"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</row>
    <row r="80" ht="12.75" customHeight="1"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</row>
    <row r="81" ht="12.75" customHeight="1"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</row>
    <row r="82" ht="12.75" customHeight="1"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</row>
    <row r="83" ht="12.75" customHeight="1"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</row>
    <row r="84" ht="12.75" customHeight="1"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</row>
    <row r="85" ht="12.75" customHeight="1"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</row>
    <row r="86" ht="12.75" customHeight="1"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</row>
    <row r="87" ht="12.75" customHeight="1"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</row>
    <row r="88" ht="12.75" customHeight="1"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</row>
    <row r="89" ht="12.75" customHeight="1"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</row>
    <row r="90" ht="12.75" customHeight="1"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</row>
    <row r="91" ht="12.75" customHeight="1"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</row>
    <row r="92" ht="12.75" customHeight="1"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</row>
    <row r="93" ht="12.75" customHeight="1"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</row>
    <row r="94" ht="12.75" customHeight="1"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</row>
    <row r="95" ht="12.75" customHeight="1"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</row>
    <row r="96" ht="12.75" customHeight="1"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</row>
    <row r="97" ht="12.75" customHeight="1"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</row>
    <row r="98" ht="12.75" customHeight="1"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</row>
    <row r="99" ht="12.75" customHeight="1"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</row>
    <row r="100" ht="12.75" customHeight="1"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</row>
    <row r="101" ht="12.75" customHeight="1"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</row>
    <row r="102" ht="12.75" customHeight="1"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</row>
    <row r="103" ht="12.75" customHeight="1"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</row>
    <row r="104" ht="12.75" customHeight="1"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</row>
    <row r="105" ht="12.75" customHeight="1"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</row>
    <row r="106" ht="12.75" customHeight="1"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</row>
    <row r="107" ht="12.75" customHeight="1"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</row>
    <row r="108" ht="12.75" customHeight="1"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</row>
    <row r="109" ht="12.75" customHeight="1"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</row>
    <row r="110" ht="12.75" customHeight="1"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</row>
    <row r="111" ht="12.75" customHeight="1"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</row>
    <row r="112" ht="12.75" customHeight="1"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</row>
    <row r="113" ht="12.75" customHeight="1"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</row>
    <row r="114" ht="12.75" customHeight="1"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</row>
    <row r="115" ht="12.75" customHeight="1"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</row>
    <row r="116" ht="12.75" customHeight="1"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</row>
    <row r="117" ht="12.75" customHeight="1"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</row>
    <row r="118" ht="12.75" customHeight="1"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</row>
    <row r="119" ht="12.75" customHeight="1"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</row>
    <row r="120" ht="12.75" customHeight="1"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</row>
    <row r="121" ht="12.75" customHeight="1"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</row>
    <row r="122" ht="12.75" customHeight="1"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</row>
    <row r="123" ht="12.75" customHeight="1"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</row>
    <row r="124" ht="12.75" customHeight="1"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</row>
    <row r="125" ht="12.75" customHeight="1"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</row>
    <row r="126" ht="12.75" customHeight="1"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</row>
    <row r="127" ht="12.75" customHeight="1"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</row>
    <row r="128" ht="12.75" customHeight="1"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</row>
    <row r="129" ht="12.75" customHeight="1"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</row>
    <row r="130" ht="12.75" customHeight="1"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</row>
    <row r="131" ht="12.75" customHeight="1"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</row>
    <row r="132" ht="12.75" customHeight="1"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</row>
    <row r="133" ht="12.75" customHeight="1"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</row>
    <row r="134" ht="12.75" customHeight="1"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</row>
    <row r="135" ht="12.75" customHeight="1"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</row>
    <row r="136" ht="12.75" customHeight="1"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</row>
    <row r="137" ht="12.75" customHeight="1"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</row>
    <row r="138" ht="12.75" customHeight="1"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</row>
    <row r="139" ht="12.75" customHeight="1"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</row>
    <row r="140" ht="12.75" customHeight="1"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</row>
    <row r="141" ht="12.75" customHeight="1"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</row>
    <row r="142" ht="12.75" customHeight="1"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</row>
    <row r="143" ht="12.75" customHeight="1"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</row>
    <row r="144" ht="12.75" customHeight="1"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</row>
    <row r="145" ht="12.75" customHeight="1"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</row>
    <row r="146" ht="12.75" customHeight="1"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</row>
    <row r="147" ht="12.75" customHeight="1"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</row>
    <row r="148" ht="12.75" customHeight="1"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</row>
    <row r="149" ht="12.75" customHeight="1"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</row>
    <row r="150" ht="12.75" customHeight="1"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</row>
    <row r="151" ht="12.75" customHeight="1"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</row>
    <row r="152" ht="12.75" customHeight="1"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</row>
    <row r="153" ht="12.75" customHeight="1"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</row>
    <row r="154" ht="12.75" customHeight="1"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</row>
    <row r="155" ht="12.75" customHeight="1"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</row>
    <row r="156" ht="12.75" customHeight="1"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</row>
    <row r="157" ht="12.75" customHeight="1"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</row>
    <row r="158" ht="12.75" customHeight="1"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</row>
    <row r="159" ht="12.75" customHeight="1"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</row>
    <row r="160" ht="12.75" customHeight="1"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</row>
    <row r="161" ht="12.75" customHeight="1"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</row>
    <row r="162" ht="12.75" customHeight="1"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</row>
    <row r="163" ht="12.75" customHeight="1"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</row>
    <row r="164" ht="12.75" customHeight="1"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</row>
    <row r="165" ht="12.75" customHeight="1"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</row>
    <row r="166" ht="12.75" customHeight="1"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</row>
    <row r="167" ht="12.75" customHeight="1"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</row>
    <row r="168" ht="12.75" customHeight="1"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</row>
    <row r="169" ht="12.75" customHeight="1"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</row>
    <row r="170" ht="12.75" customHeight="1"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</row>
    <row r="171" ht="12.75" customHeight="1"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</row>
    <row r="172" ht="12.75" customHeight="1"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</row>
    <row r="173" ht="12.75" customHeight="1"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</row>
    <row r="174" ht="12.75" customHeight="1"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</row>
    <row r="175" ht="12.75" customHeight="1"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</row>
    <row r="176" ht="12.75" customHeight="1"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</row>
    <row r="177" ht="12.75" customHeight="1"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</row>
    <row r="178" ht="12.75" customHeight="1"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</row>
    <row r="179" ht="12.75" customHeight="1"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</row>
    <row r="180" ht="12.75" customHeight="1"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</row>
    <row r="181" ht="12.75" customHeight="1"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</row>
    <row r="182" ht="12.75" customHeight="1"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</row>
    <row r="183" ht="12.75" customHeight="1"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</row>
    <row r="184" ht="12.75" customHeight="1"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</row>
    <row r="185" ht="12.75" customHeight="1"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</row>
    <row r="186" ht="12.75" customHeight="1"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</row>
    <row r="187" ht="12.75" customHeight="1"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</row>
    <row r="188" ht="12.75" customHeight="1"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</row>
    <row r="189" ht="12.75" customHeight="1"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</row>
    <row r="190" ht="12.75" customHeight="1"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</row>
    <row r="191" ht="12.75" customHeight="1"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</row>
    <row r="192" ht="12.75" customHeight="1"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</row>
    <row r="193" ht="12.75" customHeight="1"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</row>
    <row r="194" ht="12.75" customHeight="1"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</row>
    <row r="195" ht="12.75" customHeight="1"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</row>
    <row r="196" ht="12.75" customHeight="1"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</row>
    <row r="197" ht="12.75" customHeight="1"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</row>
    <row r="198" ht="12.75" customHeight="1"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</row>
    <row r="199" ht="12.75" customHeight="1"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</row>
    <row r="200" ht="12.75" customHeight="1"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</row>
    <row r="201" ht="12.75" customHeight="1"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</row>
    <row r="202" ht="12.75" customHeight="1"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</row>
    <row r="203" ht="12.75" customHeight="1"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</row>
    <row r="204" ht="12.75" customHeight="1"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</row>
    <row r="205" ht="12.75" customHeight="1"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</row>
    <row r="206" ht="12.75" customHeight="1"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</row>
    <row r="207" ht="12.75" customHeight="1"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</row>
    <row r="208" ht="12.75" customHeight="1"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</row>
    <row r="209" ht="12.75" customHeight="1"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</row>
    <row r="210" ht="12.75" customHeight="1"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</row>
    <row r="211" ht="12.75" customHeight="1"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</row>
    <row r="212" ht="12.75" customHeight="1"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</row>
    <row r="213" ht="12.75" customHeight="1"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</row>
    <row r="214" ht="12.75" customHeight="1"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</row>
    <row r="215" ht="12.75" customHeight="1"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</row>
    <row r="216" ht="12.75" customHeight="1"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</row>
    <row r="217" ht="12.75" customHeight="1"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</row>
    <row r="218" ht="12.75" customHeight="1"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</row>
    <row r="219" ht="12.75" customHeight="1"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</row>
    <row r="220" ht="12.75" customHeight="1"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</row>
    <row r="221" ht="12.75" customHeight="1"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</row>
    <row r="222" ht="12.75" customHeight="1"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</row>
    <row r="223" ht="12.75" customHeight="1"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</row>
    <row r="224" ht="12.75" customHeight="1"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</row>
    <row r="225" ht="12.75" customHeight="1"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</row>
    <row r="226" ht="12.75" customHeight="1"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</row>
    <row r="227" ht="12.75" customHeight="1"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</row>
    <row r="228" ht="12.75" customHeight="1"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</row>
    <row r="229" ht="12.75" customHeight="1"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</row>
    <row r="230" ht="12.75" customHeight="1"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</row>
    <row r="231" ht="12.75" customHeight="1"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</row>
    <row r="232" ht="12.75" customHeight="1"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</row>
    <row r="233" ht="12.75" customHeight="1"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</row>
    <row r="234" ht="12.75" customHeight="1"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</row>
    <row r="235" ht="12.75" customHeight="1"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</row>
    <row r="236" ht="12.75" customHeight="1"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</row>
    <row r="237" ht="12.75" customHeight="1"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</row>
    <row r="238" ht="12.75" customHeight="1"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</row>
    <row r="239" ht="12.75" customHeight="1"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</row>
    <row r="240" ht="12.75" customHeight="1"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</row>
    <row r="241" ht="12.75" customHeight="1"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</row>
    <row r="242" ht="12.75" customHeight="1"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</row>
    <row r="243" ht="12.75" customHeight="1"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</row>
    <row r="244" ht="12.75" customHeight="1"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</row>
    <row r="245" ht="12.75" customHeight="1"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</row>
    <row r="246" ht="12.75" customHeight="1"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</row>
    <row r="247" ht="12.75" customHeight="1"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</row>
    <row r="248" ht="12.75" customHeight="1"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</row>
    <row r="249" ht="12.75" customHeight="1"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</row>
    <row r="250" ht="12.75" customHeight="1"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</row>
    <row r="251" ht="12.75" customHeight="1"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</row>
    <row r="252" ht="12.75" customHeight="1"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</row>
    <row r="253" ht="12.75" customHeight="1"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</row>
    <row r="254" ht="12.75" customHeight="1"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</row>
    <row r="255" ht="12.75" customHeight="1"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</row>
    <row r="256" ht="12.75" customHeight="1"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</row>
    <row r="257" ht="12.75" customHeight="1"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</row>
    <row r="258" ht="12.75" customHeight="1"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</row>
    <row r="259" ht="12.75" customHeight="1"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</row>
    <row r="260" ht="12.75" customHeight="1"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</row>
    <row r="261" ht="12.75" customHeight="1"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</row>
    <row r="262" ht="12.75" customHeight="1"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</row>
    <row r="263" ht="12.75" customHeight="1"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</row>
    <row r="264" ht="12.75" customHeight="1"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</row>
    <row r="265" ht="12.75" customHeight="1"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</row>
    <row r="266" ht="12.75" customHeight="1"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</row>
    <row r="267" ht="12.75" customHeight="1"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</row>
    <row r="268" ht="12.75" customHeight="1"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</row>
    <row r="269" ht="12.75" customHeight="1"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</row>
    <row r="270" ht="12.75" customHeight="1"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</row>
    <row r="271" ht="12.75" customHeight="1"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</row>
    <row r="272" ht="12.75" customHeight="1"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</row>
    <row r="273" ht="12.75" customHeight="1"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</row>
    <row r="274" ht="12.75" customHeight="1"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</row>
    <row r="275" ht="12.75" customHeight="1"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</row>
    <row r="276" ht="12.75" customHeight="1"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</row>
    <row r="277" ht="12.75" customHeight="1"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</row>
    <row r="278" ht="12.75" customHeight="1"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</row>
    <row r="279" ht="12.75" customHeight="1"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</row>
    <row r="280" ht="12.75" customHeight="1"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</row>
    <row r="281" ht="12.75" customHeight="1"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</row>
    <row r="282" ht="12.75" customHeight="1"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</row>
    <row r="283" ht="12.75" customHeight="1"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</row>
    <row r="284" ht="12.75" customHeight="1"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</row>
    <row r="285" ht="12.75" customHeight="1"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</row>
    <row r="286" ht="12.75" customHeight="1"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</row>
    <row r="287" ht="12.75" customHeight="1"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</row>
    <row r="288" ht="12.75" customHeight="1"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</row>
    <row r="289" ht="12.75" customHeight="1"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</row>
    <row r="290" ht="12.75" customHeight="1"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</row>
    <row r="291" ht="12.75" customHeight="1"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</row>
    <row r="292" ht="12.75" customHeight="1"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</row>
    <row r="293" ht="12.75" customHeight="1"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</row>
    <row r="294" ht="12.75" customHeight="1"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</row>
    <row r="295" ht="12.75" customHeight="1"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</row>
    <row r="296" ht="12.75" customHeight="1"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</row>
    <row r="297" ht="12.75" customHeight="1"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</row>
    <row r="298" ht="12.75" customHeight="1"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</row>
    <row r="299" ht="12.75" customHeight="1"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</row>
    <row r="300" ht="12.75" customHeight="1"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</row>
    <row r="301" ht="12.75" customHeight="1"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</row>
    <row r="302" ht="12.75" customHeight="1"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</row>
    <row r="303" ht="12.75" customHeight="1"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</row>
    <row r="304" ht="12.75" customHeight="1"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</row>
    <row r="305" ht="12.75" customHeight="1"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</row>
    <row r="306" ht="12.75" customHeight="1"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</row>
    <row r="307" ht="12.75" customHeight="1"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</row>
    <row r="308" ht="12.75" customHeight="1"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</row>
    <row r="309" ht="12.75" customHeight="1"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</row>
    <row r="310" ht="12.75" customHeight="1"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</row>
    <row r="311" ht="12.75" customHeight="1"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</row>
    <row r="312" ht="12.75" customHeight="1"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</row>
    <row r="313" ht="12.75" customHeight="1"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</row>
    <row r="314" ht="12.75" customHeight="1"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</row>
    <row r="315" ht="12.75" customHeight="1"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</row>
    <row r="316" ht="12.75" customHeight="1"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</row>
    <row r="317" ht="12.75" customHeight="1"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</row>
    <row r="318" ht="12.75" customHeight="1"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</row>
    <row r="319" ht="12.75" customHeight="1"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</row>
    <row r="320" ht="12.75" customHeight="1"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</row>
    <row r="321" ht="12.75" customHeight="1"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</row>
    <row r="322" ht="12.75" customHeight="1"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</row>
    <row r="323" ht="12.75" customHeight="1"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</row>
    <row r="324" ht="12.75" customHeight="1"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</row>
    <row r="325" ht="12.75" customHeight="1"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</row>
    <row r="326" ht="12.75" customHeight="1"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</row>
    <row r="327" ht="12.75" customHeight="1"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</row>
    <row r="328" ht="12.75" customHeight="1"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</row>
    <row r="329" ht="12.75" customHeight="1"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</row>
    <row r="330" ht="12.75" customHeight="1"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</row>
    <row r="331" ht="12.75" customHeight="1"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</row>
    <row r="332" ht="12.75" customHeight="1"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</row>
    <row r="333" ht="12.75" customHeight="1"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</row>
    <row r="334" ht="12.75" customHeight="1"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</row>
    <row r="335" ht="12.75" customHeight="1"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</row>
    <row r="336" ht="12.75" customHeight="1"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</row>
    <row r="337" ht="12.75" customHeight="1"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</row>
    <row r="338" ht="12.75" customHeight="1"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</row>
    <row r="339" ht="12.75" customHeight="1"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</row>
    <row r="340" ht="12.75" customHeight="1"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</row>
    <row r="341" ht="12.75" customHeight="1"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</row>
    <row r="342" ht="12.75" customHeight="1"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</row>
    <row r="343" ht="12.75" customHeight="1"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</row>
    <row r="344" ht="12.75" customHeight="1"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</row>
    <row r="345" ht="12.75" customHeight="1"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</row>
    <row r="346" ht="12.75" customHeight="1"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</row>
    <row r="347" ht="12.75" customHeight="1"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</row>
    <row r="348" ht="12.75" customHeight="1"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</row>
    <row r="349" ht="12.75" customHeight="1"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</row>
    <row r="350" ht="12.75" customHeight="1"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</row>
    <row r="351" ht="12.75" customHeight="1"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</row>
    <row r="352" ht="12.75" customHeight="1"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</row>
    <row r="353" ht="12.75" customHeight="1"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</row>
    <row r="354" ht="12.75" customHeight="1"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</row>
    <row r="355" ht="12.75" customHeight="1"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</row>
    <row r="356" ht="12.75" customHeight="1"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</row>
    <row r="357" ht="12.75" customHeight="1"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</row>
    <row r="358" ht="12.75" customHeight="1"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</row>
    <row r="359" ht="12.75" customHeight="1"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</row>
    <row r="360" ht="12.75" customHeight="1"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</row>
    <row r="361" ht="12.75" customHeight="1"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</row>
    <row r="362" ht="12.75" customHeight="1"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</row>
    <row r="363" ht="12.75" customHeight="1"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</row>
    <row r="364" ht="12.75" customHeight="1"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</row>
    <row r="365" ht="12.75" customHeight="1"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</row>
    <row r="366" ht="12.75" customHeight="1"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</row>
    <row r="367" ht="12.75" customHeight="1"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</row>
    <row r="368" ht="12.75" customHeight="1"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</row>
    <row r="369" ht="12.75" customHeight="1"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</row>
    <row r="370" ht="12.75" customHeight="1"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</row>
    <row r="371" ht="12.75" customHeight="1"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</row>
    <row r="372" ht="12.75" customHeight="1"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</row>
    <row r="373" ht="12.75" customHeight="1"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</row>
    <row r="374" ht="12.75" customHeight="1"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</row>
    <row r="375" ht="12.75" customHeight="1"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</row>
    <row r="376" ht="12.75" customHeight="1"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</row>
    <row r="377" ht="12.75" customHeight="1"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</row>
    <row r="378" ht="12.75" customHeight="1"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</row>
    <row r="379" ht="12.75" customHeight="1"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</row>
    <row r="380" ht="12.75" customHeight="1"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</row>
    <row r="381" ht="12.75" customHeight="1"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</row>
    <row r="382" ht="12.75" customHeight="1"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</row>
    <row r="383" ht="12.75" customHeight="1"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</row>
    <row r="384" ht="12.75" customHeight="1"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</row>
    <row r="385" ht="12.75" customHeight="1"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</row>
    <row r="386" ht="12.75" customHeight="1"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</row>
    <row r="387" ht="12.75" customHeight="1"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</row>
    <row r="388" ht="12.75" customHeight="1"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</row>
    <row r="389" ht="12.75" customHeight="1"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</row>
    <row r="390" ht="12.75" customHeight="1"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</row>
    <row r="391" ht="12.75" customHeight="1"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</row>
    <row r="392" ht="12.75" customHeight="1"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</row>
    <row r="393" ht="12.75" customHeight="1"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</row>
    <row r="394" ht="12.75" customHeight="1"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</row>
    <row r="395" ht="12.75" customHeight="1"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</row>
    <row r="396" ht="12.75" customHeight="1"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</row>
    <row r="397" ht="12.75" customHeight="1"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</row>
    <row r="398" ht="12.75" customHeight="1"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</row>
    <row r="399" ht="12.75" customHeight="1"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</row>
    <row r="400" ht="12.75" customHeight="1"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</row>
    <row r="401" ht="12.75" customHeight="1"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</row>
    <row r="402" ht="12.75" customHeight="1"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</row>
    <row r="403" ht="12.75" customHeight="1"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</row>
    <row r="404" ht="12.75" customHeight="1"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</row>
    <row r="405" ht="12.75" customHeight="1"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</row>
    <row r="406" ht="12.75" customHeight="1"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</row>
    <row r="407" ht="12.75" customHeight="1"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</row>
    <row r="408" ht="12.75" customHeight="1"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</row>
    <row r="409" ht="12.75" customHeight="1"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</row>
    <row r="410" ht="12.75" customHeight="1"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</row>
    <row r="411" ht="12.75" customHeight="1"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</row>
    <row r="412" ht="12.75" customHeight="1"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</row>
    <row r="413" ht="12.75" customHeight="1"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</row>
    <row r="414" ht="12.75" customHeight="1"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</row>
    <row r="415" ht="12.75" customHeight="1"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</row>
    <row r="416" ht="12.75" customHeight="1"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</row>
    <row r="417" ht="12.75" customHeight="1"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</row>
    <row r="418" ht="12.75" customHeight="1"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</row>
    <row r="419" ht="12.75" customHeight="1"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</row>
    <row r="420" ht="12.75" customHeight="1"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</row>
    <row r="421" ht="12.75" customHeight="1"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</row>
    <row r="422" ht="12.75" customHeight="1"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</row>
    <row r="423" ht="12.75" customHeight="1"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</row>
    <row r="424" ht="12.75" customHeight="1"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</row>
    <row r="425" ht="12.75" customHeight="1"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</row>
    <row r="426" ht="12.75" customHeight="1"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</row>
    <row r="427" ht="12.75" customHeight="1"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</row>
    <row r="428" ht="12.75" customHeight="1"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</row>
    <row r="429" ht="12.75" customHeight="1"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</row>
    <row r="430" ht="12.75" customHeight="1"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</row>
    <row r="431" ht="12.75" customHeight="1"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</row>
    <row r="432" ht="12.75" customHeight="1"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</row>
    <row r="433" ht="12.75" customHeight="1"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</row>
    <row r="434" ht="12.75" customHeight="1"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</row>
    <row r="435" ht="12.75" customHeight="1"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</row>
    <row r="436" ht="12.75" customHeight="1"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</row>
    <row r="437" ht="12.75" customHeight="1"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</row>
    <row r="438" ht="12.75" customHeight="1"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</row>
    <row r="439" ht="12.75" customHeight="1"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</row>
    <row r="440" ht="12.75" customHeight="1"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</row>
    <row r="441" ht="12.75" customHeight="1"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</row>
    <row r="442" ht="12.75" customHeight="1"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</row>
    <row r="443" ht="12.75" customHeight="1"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</row>
    <row r="444" ht="12.75" customHeight="1"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</row>
    <row r="445" ht="12.75" customHeight="1"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</row>
    <row r="446" ht="12.75" customHeight="1"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</row>
    <row r="447" ht="12.75" customHeight="1"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</row>
    <row r="448" ht="12.75" customHeight="1"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</row>
    <row r="449" ht="12.75" customHeight="1"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</row>
    <row r="450" ht="12.75" customHeight="1"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</row>
    <row r="451" ht="12.75" customHeight="1"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</row>
    <row r="452" ht="12.75" customHeight="1"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</row>
    <row r="453" ht="12.75" customHeight="1"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</row>
    <row r="454" ht="12.75" customHeight="1"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</row>
    <row r="455" ht="12.75" customHeight="1"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</row>
    <row r="456" ht="12.75" customHeight="1"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</row>
    <row r="457" ht="12.75" customHeight="1"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</row>
    <row r="458" ht="12.75" customHeight="1"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</row>
    <row r="459" ht="12.75" customHeight="1"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</row>
    <row r="460" ht="12.75" customHeight="1"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</row>
    <row r="461" ht="12.75" customHeight="1"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</row>
    <row r="462" ht="12.75" customHeight="1"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</row>
    <row r="463" ht="12.75" customHeight="1"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</row>
    <row r="464" ht="12.75" customHeight="1"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</row>
    <row r="465" ht="12.75" customHeight="1"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</row>
    <row r="466" ht="12.75" customHeight="1"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</row>
    <row r="467" ht="12.75" customHeight="1"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</row>
    <row r="468" ht="12.75" customHeight="1"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</row>
    <row r="469" ht="12.75" customHeight="1"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</row>
    <row r="470" ht="12.75" customHeight="1"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</row>
    <row r="471" ht="12.75" customHeight="1"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</row>
    <row r="472" ht="12.75" customHeight="1"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</row>
    <row r="473" ht="12.75" customHeight="1"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</row>
    <row r="474" ht="12.75" customHeight="1"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</row>
    <row r="475" ht="12.75" customHeight="1"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</row>
    <row r="476" ht="12.75" customHeight="1"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</row>
    <row r="477" ht="12.75" customHeight="1"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</row>
    <row r="478" ht="12.75" customHeight="1"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</row>
    <row r="479" ht="12.75" customHeight="1"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</row>
    <row r="480" ht="12.75" customHeight="1"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</row>
    <row r="481" ht="12.75" customHeight="1"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</row>
    <row r="482" ht="12.75" customHeight="1"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</row>
    <row r="483" ht="12.75" customHeight="1"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</row>
    <row r="484" ht="12.75" customHeight="1"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</row>
    <row r="485" ht="12.75" customHeight="1"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</row>
    <row r="486" ht="12.75" customHeight="1"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</row>
    <row r="487" ht="12.75" customHeight="1"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</row>
    <row r="488" ht="12.75" customHeight="1"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</row>
    <row r="489" ht="12.75" customHeight="1"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</row>
    <row r="490" ht="12.75" customHeight="1"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</row>
    <row r="491" ht="12.75" customHeight="1"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</row>
    <row r="492" ht="12.75" customHeight="1"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</row>
    <row r="493" ht="12.75" customHeight="1"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</row>
    <row r="494" ht="12.75" customHeight="1"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</row>
    <row r="495" ht="12.75" customHeight="1"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</row>
    <row r="496" ht="12.75" customHeight="1"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</row>
    <row r="497" ht="12.75" customHeight="1"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</row>
    <row r="498" ht="12.75" customHeight="1"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</row>
    <row r="499" ht="12.75" customHeight="1"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</row>
    <row r="500" ht="12.75" customHeight="1"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</row>
    <row r="501" ht="12.75" customHeight="1"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</row>
    <row r="502" ht="12.75" customHeight="1"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</row>
    <row r="503" ht="12.75" customHeight="1"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</row>
    <row r="504" ht="12.75" customHeight="1"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</row>
    <row r="505" ht="12.75" customHeight="1"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</row>
    <row r="506" ht="12.75" customHeight="1"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</row>
    <row r="507" ht="12.75" customHeight="1"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</row>
    <row r="508" ht="12.75" customHeight="1"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</row>
    <row r="509" ht="12.75" customHeight="1"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</row>
    <row r="510" ht="12.75" customHeight="1"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</row>
    <row r="511" ht="12.75" customHeight="1"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</row>
    <row r="512" ht="12.75" customHeight="1"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</row>
    <row r="513" ht="12.75" customHeight="1"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</row>
    <row r="514" ht="12.75" customHeight="1"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</row>
    <row r="515" ht="12.75" customHeight="1"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</row>
    <row r="516" ht="12.75" customHeight="1"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</row>
    <row r="517" ht="12.75" customHeight="1"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</row>
    <row r="518" ht="12.75" customHeight="1"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</row>
    <row r="519" ht="12.75" customHeight="1"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</row>
    <row r="520" ht="12.75" customHeight="1"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</row>
    <row r="521" ht="12.75" customHeight="1"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</row>
    <row r="522" ht="12.75" customHeight="1"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</row>
    <row r="523" ht="12.75" customHeight="1"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</row>
    <row r="524" ht="12.75" customHeight="1"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</row>
    <row r="525" ht="12.75" customHeight="1"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</row>
    <row r="526" ht="12.75" customHeight="1"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</row>
    <row r="527" ht="12.75" customHeight="1"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</row>
    <row r="528" ht="12.75" customHeight="1"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</row>
    <row r="529" ht="12.75" customHeight="1"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</row>
    <row r="530" ht="12.75" customHeight="1"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</row>
    <row r="531" ht="12.75" customHeight="1"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</row>
    <row r="532" ht="12.75" customHeight="1"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</row>
    <row r="533" ht="12.75" customHeight="1"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</row>
    <row r="534" ht="12.75" customHeight="1"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</row>
    <row r="535" ht="12.75" customHeight="1"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</row>
    <row r="536" ht="12.75" customHeight="1"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</row>
    <row r="537" ht="12.75" customHeight="1"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</row>
    <row r="538" ht="12.75" customHeight="1"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</row>
    <row r="539" ht="12.75" customHeight="1"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</row>
    <row r="540" ht="12.75" customHeight="1"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</row>
    <row r="541" ht="12.75" customHeight="1"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</row>
    <row r="542" ht="12.75" customHeight="1"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</row>
    <row r="543" ht="12.75" customHeight="1"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</row>
    <row r="544" ht="12.75" customHeight="1"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</row>
    <row r="545" ht="12.75" customHeight="1"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</row>
    <row r="546" ht="12.75" customHeight="1"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</row>
    <row r="547" ht="12.75" customHeight="1"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</row>
    <row r="548" ht="12.75" customHeight="1"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</row>
    <row r="549" ht="12.75" customHeight="1"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</row>
    <row r="550" ht="12.75" customHeight="1"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</row>
    <row r="551" ht="12.75" customHeight="1"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</row>
    <row r="552" ht="12.75" customHeight="1"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</row>
    <row r="553" ht="12.75" customHeight="1"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</row>
    <row r="554" ht="12.75" customHeight="1"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</row>
    <row r="555" ht="12.75" customHeight="1"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</row>
    <row r="556" ht="12.75" customHeight="1"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</row>
    <row r="557" ht="12.75" customHeight="1"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</row>
    <row r="558" ht="12.75" customHeight="1"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</row>
    <row r="559" ht="12.75" customHeight="1"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</row>
    <row r="560" ht="12.75" customHeight="1"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</row>
    <row r="561" ht="12.75" customHeight="1"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</row>
    <row r="562" ht="12.75" customHeight="1"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</row>
    <row r="563" ht="12.75" customHeight="1"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</row>
    <row r="564" ht="12.75" customHeight="1"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</row>
    <row r="565" ht="12.75" customHeight="1"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</row>
    <row r="566" ht="12.75" customHeight="1"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</row>
    <row r="567" ht="12.75" customHeight="1"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</row>
    <row r="568" ht="12.75" customHeight="1"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</row>
    <row r="569" ht="12.75" customHeight="1"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</row>
    <row r="570" ht="12.75" customHeight="1"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</row>
    <row r="571" ht="12.75" customHeight="1"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</row>
    <row r="572" ht="12.75" customHeight="1"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</row>
    <row r="573" ht="12.75" customHeight="1"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</row>
    <row r="574" ht="12.75" customHeight="1"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</row>
    <row r="575" ht="12.75" customHeight="1"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</row>
    <row r="576" ht="12.75" customHeight="1"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</row>
    <row r="577" ht="12.75" customHeight="1"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</row>
    <row r="578" ht="12.75" customHeight="1"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</row>
    <row r="579" ht="12.75" customHeight="1"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</row>
    <row r="580" ht="12.75" customHeight="1"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</row>
    <row r="581" ht="12.75" customHeight="1"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</row>
    <row r="582" ht="12.75" customHeight="1"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</row>
    <row r="583" ht="12.75" customHeight="1"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</row>
    <row r="584" ht="12.75" customHeight="1"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</row>
    <row r="585" ht="12.75" customHeight="1"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</row>
    <row r="586" ht="12.75" customHeight="1"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</row>
    <row r="587" ht="12.75" customHeight="1"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</row>
    <row r="588" ht="12.75" customHeight="1"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</row>
    <row r="589" ht="12.75" customHeight="1"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</row>
    <row r="590" ht="12.75" customHeight="1"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</row>
    <row r="591" ht="12.75" customHeight="1"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</row>
    <row r="592" ht="12.75" customHeight="1"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</row>
    <row r="593" ht="12.75" customHeight="1"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</row>
    <row r="594" ht="12.75" customHeight="1"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</row>
    <row r="595" ht="12.75" customHeight="1"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</row>
    <row r="596" ht="12.75" customHeight="1"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</row>
    <row r="597" ht="12.75" customHeight="1"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</row>
    <row r="598" ht="12.75" customHeight="1"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</row>
    <row r="599" ht="12.75" customHeight="1"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</row>
    <row r="600" ht="12.75" customHeight="1"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</row>
    <row r="601" ht="12.75" customHeight="1"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</row>
    <row r="602" ht="12.75" customHeight="1"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</row>
    <row r="603" ht="12.75" customHeight="1"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</row>
    <row r="604" ht="12.75" customHeight="1"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</row>
    <row r="605" ht="12.75" customHeight="1"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</row>
    <row r="606" ht="12.75" customHeight="1"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</row>
    <row r="607" ht="12.75" customHeight="1"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</row>
    <row r="608" ht="12.75" customHeight="1"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</row>
    <row r="609" ht="12.75" customHeight="1"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</row>
    <row r="610" ht="12.75" customHeight="1"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</row>
    <row r="611" ht="12.75" customHeight="1"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</row>
    <row r="612" ht="12.75" customHeight="1"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</row>
    <row r="613" ht="12.75" customHeight="1"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</row>
    <row r="614" ht="12.75" customHeight="1"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</row>
    <row r="615" ht="12.75" customHeight="1"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</row>
    <row r="616" ht="12.75" customHeight="1"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</row>
    <row r="617" ht="12.75" customHeight="1"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</row>
    <row r="618" ht="12.75" customHeight="1"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</row>
    <row r="619" ht="12.75" customHeight="1"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</row>
    <row r="620" ht="12.75" customHeight="1"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</row>
    <row r="621" ht="12.75" customHeight="1"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</row>
    <row r="622" ht="12.75" customHeight="1"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</row>
    <row r="623" ht="12.75" customHeight="1"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</row>
    <row r="624" ht="12.75" customHeight="1"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</row>
    <row r="625" ht="12.75" customHeight="1"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</row>
    <row r="626" ht="12.75" customHeight="1"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</row>
    <row r="627" ht="12.75" customHeight="1"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</row>
    <row r="628" ht="12.75" customHeight="1"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</row>
    <row r="629" ht="12.75" customHeight="1"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</row>
    <row r="630" ht="12.75" customHeight="1"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</row>
    <row r="631" ht="12.75" customHeight="1"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</row>
    <row r="632" ht="12.75" customHeight="1"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</row>
    <row r="633" ht="12.75" customHeight="1"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</row>
    <row r="634" ht="12.75" customHeight="1"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</row>
    <row r="635" ht="12.75" customHeight="1"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</row>
    <row r="636" ht="12.75" customHeight="1"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</row>
    <row r="637" ht="12.75" customHeight="1"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</row>
    <row r="638" ht="12.75" customHeight="1"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</row>
    <row r="639" ht="12.75" customHeight="1"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</row>
    <row r="640" ht="12.75" customHeight="1"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</row>
    <row r="641" ht="12.75" customHeight="1"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</row>
    <row r="642" ht="12.75" customHeight="1"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</row>
    <row r="643" ht="12.75" customHeight="1"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</row>
    <row r="644" ht="12.75" customHeight="1"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</row>
    <row r="645" ht="12.75" customHeight="1"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</row>
    <row r="646" ht="12.75" customHeight="1"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</row>
    <row r="647" ht="12.75" customHeight="1"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</row>
    <row r="648" ht="12.75" customHeight="1"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</row>
    <row r="649" ht="12.75" customHeight="1"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</row>
    <row r="650" ht="12.75" customHeight="1"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</row>
    <row r="651" ht="12.75" customHeight="1"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</row>
    <row r="652" ht="12.75" customHeight="1"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</row>
    <row r="653" ht="12.75" customHeight="1"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</row>
    <row r="654" ht="12.75" customHeight="1"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</row>
    <row r="655" ht="12.75" customHeight="1"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</row>
    <row r="656" ht="12.75" customHeight="1"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</row>
    <row r="657" ht="12.75" customHeight="1"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</row>
    <row r="658" ht="12.75" customHeight="1"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</row>
    <row r="659" ht="12.75" customHeight="1"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</row>
    <row r="660" ht="12.75" customHeight="1"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</row>
    <row r="661" ht="12.75" customHeight="1"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</row>
    <row r="662" ht="12.75" customHeight="1"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</row>
    <row r="663" ht="12.75" customHeight="1"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</row>
    <row r="664" ht="12.75" customHeight="1"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</row>
    <row r="665" ht="12.75" customHeight="1"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</row>
    <row r="666" ht="12.75" customHeight="1"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</row>
    <row r="667" ht="12.75" customHeight="1"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</row>
    <row r="668" ht="12.75" customHeight="1"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</row>
    <row r="669" ht="12.75" customHeight="1"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</row>
    <row r="670" ht="12.75" customHeight="1"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</row>
    <row r="671" ht="12.75" customHeight="1"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</row>
    <row r="672" ht="12.75" customHeight="1"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</row>
    <row r="673" ht="12.75" customHeight="1"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</row>
    <row r="674" ht="12.75" customHeight="1"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</row>
    <row r="675" ht="12.75" customHeight="1"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</row>
    <row r="676" ht="12.75" customHeight="1"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</row>
    <row r="677" ht="12.75" customHeight="1"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</row>
    <row r="678" ht="12.75" customHeight="1"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</row>
    <row r="679" ht="12.75" customHeight="1"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</row>
    <row r="680" ht="12.75" customHeight="1"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</row>
    <row r="681" ht="12.75" customHeight="1"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</row>
    <row r="682" ht="12.75" customHeight="1"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</row>
    <row r="683" ht="12.75" customHeight="1"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</row>
    <row r="684" ht="12.75" customHeight="1"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</row>
    <row r="685" ht="12.75" customHeight="1"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</row>
    <row r="686" ht="12.75" customHeight="1"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</row>
    <row r="687" ht="12.75" customHeight="1"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</row>
    <row r="688" ht="12.75" customHeight="1"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</row>
    <row r="689" ht="12.75" customHeight="1"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</row>
    <row r="690" ht="12.75" customHeight="1"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</row>
    <row r="691" ht="12.75" customHeight="1"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</row>
    <row r="692" ht="12.75" customHeight="1"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</row>
    <row r="693" ht="12.75" customHeight="1"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</row>
    <row r="694" ht="12.75" customHeight="1"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</row>
    <row r="695" ht="12.75" customHeight="1"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</row>
    <row r="696" ht="12.75" customHeight="1"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</row>
    <row r="697" ht="12.75" customHeight="1"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</row>
    <row r="698" ht="12.75" customHeight="1"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</row>
    <row r="699" ht="12.75" customHeight="1"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</row>
    <row r="700" ht="12.75" customHeight="1"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</row>
    <row r="701" ht="12.75" customHeight="1"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</row>
    <row r="702" ht="12.75" customHeight="1"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</row>
    <row r="703" ht="12.75" customHeight="1"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</row>
    <row r="704" ht="12.75" customHeight="1"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</row>
    <row r="705" ht="12.75" customHeight="1"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</row>
    <row r="706" ht="12.75" customHeight="1"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</row>
    <row r="707" ht="12.75" customHeight="1"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</row>
    <row r="708" ht="12.75" customHeight="1"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</row>
    <row r="709" ht="12.75" customHeight="1"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</row>
    <row r="710" ht="12.75" customHeight="1"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</row>
    <row r="711" ht="12.75" customHeight="1"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</row>
    <row r="712" ht="12.75" customHeight="1"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</row>
    <row r="713" ht="12.75" customHeight="1"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</row>
    <row r="714" ht="12.75" customHeight="1"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</row>
    <row r="715" ht="12.75" customHeight="1"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</row>
    <row r="716" ht="12.75" customHeight="1"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</row>
    <row r="717" ht="12.75" customHeight="1"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</row>
    <row r="718" ht="12.75" customHeight="1"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</row>
    <row r="719" ht="12.75" customHeight="1"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</row>
    <row r="720" ht="12.75" customHeight="1"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</row>
    <row r="721" ht="12.75" customHeight="1"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</row>
    <row r="722" ht="12.75" customHeight="1"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</row>
    <row r="723" ht="12.75" customHeight="1"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</row>
    <row r="724" ht="12.75" customHeight="1"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</row>
    <row r="725" ht="12.75" customHeight="1"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</row>
    <row r="726" ht="12.75" customHeight="1"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</row>
    <row r="727" ht="12.75" customHeight="1"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</row>
    <row r="728" ht="12.75" customHeight="1"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</row>
    <row r="729" ht="12.75" customHeight="1"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</row>
    <row r="730" ht="12.75" customHeight="1"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</row>
    <row r="731" ht="12.75" customHeight="1"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</row>
    <row r="732" ht="12.75" customHeight="1"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</row>
    <row r="733" ht="12.75" customHeight="1"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</row>
    <row r="734" ht="12.75" customHeight="1"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</row>
    <row r="735" ht="12.75" customHeight="1"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</row>
    <row r="736" ht="12.75" customHeight="1"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</row>
    <row r="737" ht="12.75" customHeight="1"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</row>
    <row r="738" ht="12.75" customHeight="1"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</row>
    <row r="739" ht="12.75" customHeight="1"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</row>
    <row r="740" ht="12.75" customHeight="1"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</row>
    <row r="741" ht="12.75" customHeight="1"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</row>
    <row r="742" ht="12.75" customHeight="1"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</row>
    <row r="743" ht="12.75" customHeight="1"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</row>
    <row r="744" ht="12.75" customHeight="1"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</row>
    <row r="745" ht="12.75" customHeight="1"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</row>
    <row r="746" ht="12.75" customHeight="1"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</row>
    <row r="747" ht="12.75" customHeight="1"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</row>
    <row r="748" ht="12.75" customHeight="1"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</row>
    <row r="749" ht="12.75" customHeight="1"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</row>
    <row r="750" ht="12.75" customHeight="1"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</row>
    <row r="751" ht="12.75" customHeight="1"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</row>
    <row r="752" ht="12.75" customHeight="1"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</row>
    <row r="753" ht="12.75" customHeight="1"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</row>
    <row r="754" ht="12.75" customHeight="1"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</row>
    <row r="755" ht="12.75" customHeight="1"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</row>
    <row r="756" ht="12.75" customHeight="1"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</row>
    <row r="757" ht="12.75" customHeight="1"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</row>
    <row r="758" ht="12.75" customHeight="1"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</row>
    <row r="759" ht="12.75" customHeight="1"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</row>
    <row r="760" ht="12.75" customHeight="1"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</row>
    <row r="761" ht="12.75" customHeight="1"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</row>
    <row r="762" ht="12.75" customHeight="1"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</row>
    <row r="763" ht="12.75" customHeight="1"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</row>
    <row r="764" ht="12.75" customHeight="1"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</row>
    <row r="765" ht="12.75" customHeight="1"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</row>
    <row r="766" ht="12.75" customHeight="1"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</row>
    <row r="767" ht="12.75" customHeight="1"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</row>
    <row r="768" ht="12.75" customHeight="1"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</row>
    <row r="769" ht="12.75" customHeight="1"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</row>
    <row r="770" ht="12.75" customHeight="1"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</row>
    <row r="771" ht="12.75" customHeight="1"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</row>
    <row r="772" ht="12.75" customHeight="1"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</row>
    <row r="773" ht="12.75" customHeight="1"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</row>
    <row r="774" ht="12.75" customHeight="1"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</row>
    <row r="775" ht="12.75" customHeight="1"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</row>
    <row r="776" ht="12.75" customHeight="1"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</row>
    <row r="777" ht="12.75" customHeight="1"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</row>
    <row r="778" ht="12.75" customHeight="1"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</row>
    <row r="779" ht="12.75" customHeight="1"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</row>
    <row r="780" ht="12.75" customHeight="1"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</row>
    <row r="781" ht="12.75" customHeight="1"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</row>
    <row r="782" ht="12.75" customHeight="1"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</row>
    <row r="783" ht="12.75" customHeight="1"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</row>
    <row r="784" ht="12.75" customHeight="1"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</row>
    <row r="785" ht="12.75" customHeight="1"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</row>
    <row r="786" ht="12.75" customHeight="1"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</row>
    <row r="787" ht="12.75" customHeight="1"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</row>
    <row r="788" ht="12.75" customHeight="1"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</row>
    <row r="789" ht="12.75" customHeight="1"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</row>
    <row r="790" ht="12.75" customHeight="1"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</row>
    <row r="791" ht="12.75" customHeight="1"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</row>
    <row r="792" ht="12.75" customHeight="1"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</row>
    <row r="793" ht="12.75" customHeight="1"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</row>
    <row r="794" ht="12.75" customHeight="1"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</row>
    <row r="795" ht="12.75" customHeight="1"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</row>
    <row r="796" ht="12.75" customHeight="1"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</row>
    <row r="797" ht="12.75" customHeight="1"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</row>
    <row r="798" ht="12.75" customHeight="1"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</row>
    <row r="799" ht="12.75" customHeight="1"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</row>
    <row r="800" ht="12.75" customHeight="1"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</row>
    <row r="801" ht="12.75" customHeight="1"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</row>
    <row r="802" ht="12.75" customHeight="1"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</row>
    <row r="803" ht="12.75" customHeight="1"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</row>
    <row r="804" ht="12.75" customHeight="1"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</row>
    <row r="805" ht="12.75" customHeight="1"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</row>
    <row r="806" ht="12.75" customHeight="1"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</row>
    <row r="807" ht="12.75" customHeight="1"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</row>
    <row r="808" ht="12.75" customHeight="1"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</row>
    <row r="809" ht="12.75" customHeight="1"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</row>
    <row r="810" ht="12.75" customHeight="1"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</row>
    <row r="811" ht="12.75" customHeight="1"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</row>
    <row r="812" ht="12.75" customHeight="1"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</row>
    <row r="813" ht="12.75" customHeight="1"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</row>
    <row r="814" ht="12.75" customHeight="1"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</row>
    <row r="815" ht="12.75" customHeight="1"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</row>
    <row r="816" ht="12.75" customHeight="1"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</row>
    <row r="817" ht="12.75" customHeight="1"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</row>
    <row r="818" ht="12.75" customHeight="1"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</row>
    <row r="819" ht="12.75" customHeight="1"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</row>
    <row r="820" ht="12.75" customHeight="1"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</row>
    <row r="821" ht="12.75" customHeight="1"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</row>
    <row r="822" ht="12.75" customHeight="1"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</row>
    <row r="823" ht="12.75" customHeight="1"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</row>
    <row r="824" ht="12.75" customHeight="1"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</row>
    <row r="825" ht="12.75" customHeight="1"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</row>
    <row r="826" ht="12.75" customHeight="1"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</row>
    <row r="827" ht="12.75" customHeight="1"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</row>
    <row r="828" ht="12.75" customHeight="1"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</row>
    <row r="829" ht="12.75" customHeight="1"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</row>
    <row r="830" ht="12.75" customHeight="1"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</row>
    <row r="831" ht="12.75" customHeight="1"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</row>
    <row r="832" ht="12.75" customHeight="1"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</row>
    <row r="833" ht="12.75" customHeight="1"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</row>
    <row r="834" ht="12.75" customHeight="1"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</row>
    <row r="835" ht="12.75" customHeight="1"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</row>
    <row r="836" ht="12.75" customHeight="1"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</row>
    <row r="837" ht="12.75" customHeight="1"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</row>
    <row r="838" ht="12.75" customHeight="1"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</row>
    <row r="839" ht="12.75" customHeight="1"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</row>
    <row r="840" ht="12.75" customHeight="1"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</row>
    <row r="841" ht="12.75" customHeight="1"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</row>
    <row r="842" ht="12.75" customHeight="1"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</row>
    <row r="843" ht="12.75" customHeight="1"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</row>
    <row r="844" ht="12.75" customHeight="1"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</row>
    <row r="845" ht="12.75" customHeight="1"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</row>
    <row r="846" ht="12.75" customHeight="1"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</row>
    <row r="847" ht="12.75" customHeight="1"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</row>
    <row r="848" ht="12.75" customHeight="1"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</row>
    <row r="849" ht="12.75" customHeight="1"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</row>
    <row r="850" ht="12.75" customHeight="1"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</row>
    <row r="851" ht="12.75" customHeight="1"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</row>
    <row r="852" ht="12.75" customHeight="1"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</row>
    <row r="853" ht="12.75" customHeight="1"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</row>
    <row r="854" ht="12.75" customHeight="1"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</row>
    <row r="855" ht="12.75" customHeight="1"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</row>
    <row r="856" ht="12.75" customHeight="1"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</row>
    <row r="857" ht="12.75" customHeight="1"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</row>
    <row r="858" ht="12.75" customHeight="1"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</row>
    <row r="859" ht="12.75" customHeight="1"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</row>
    <row r="860" ht="12.75" customHeight="1"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</row>
    <row r="861" ht="12.75" customHeight="1"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</row>
    <row r="862" ht="12.75" customHeight="1"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</row>
    <row r="863" ht="12.75" customHeight="1"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</row>
    <row r="864" ht="12.75" customHeight="1"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</row>
    <row r="865" ht="12.75" customHeight="1"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</row>
    <row r="866" ht="12.75" customHeight="1"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</row>
    <row r="867" ht="12.75" customHeight="1"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</row>
    <row r="868" ht="12.75" customHeight="1"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</row>
    <row r="869" ht="12.75" customHeight="1"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</row>
    <row r="870" ht="12.75" customHeight="1"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</row>
    <row r="871" ht="12.75" customHeight="1"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</row>
    <row r="872" ht="12.75" customHeight="1"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</row>
    <row r="873" ht="12.75" customHeight="1"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</row>
    <row r="874" ht="12.75" customHeight="1"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</row>
    <row r="875" ht="12.75" customHeight="1"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</row>
    <row r="876" ht="12.75" customHeight="1"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</row>
    <row r="877" ht="12.75" customHeight="1"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</row>
    <row r="878" ht="12.75" customHeight="1"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</row>
    <row r="879" ht="12.75" customHeight="1"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</row>
    <row r="880" ht="12.75" customHeight="1"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</row>
    <row r="881" ht="12.75" customHeight="1"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</row>
    <row r="882" ht="12.75" customHeight="1"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</row>
    <row r="883" ht="12.75" customHeight="1"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</row>
    <row r="884" ht="12.75" customHeight="1"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</row>
    <row r="885" ht="12.75" customHeight="1"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</row>
    <row r="886" ht="12.75" customHeight="1"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</row>
    <row r="887" ht="12.75" customHeight="1"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</row>
    <row r="888" ht="12.75" customHeight="1"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</row>
    <row r="889" ht="12.75" customHeight="1"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</row>
    <row r="890" ht="12.75" customHeight="1"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</row>
    <row r="891" ht="12.75" customHeight="1"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</row>
    <row r="892" ht="12.75" customHeight="1"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</row>
    <row r="893" ht="12.75" customHeight="1"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</row>
    <row r="894" ht="12.75" customHeight="1"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</row>
    <row r="895" ht="12.75" customHeight="1"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</row>
    <row r="896" ht="12.75" customHeight="1"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</row>
    <row r="897" ht="12.75" customHeight="1"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</row>
    <row r="898" ht="12.75" customHeight="1"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</row>
    <row r="899" ht="12.75" customHeight="1"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</row>
    <row r="900" ht="12.75" customHeight="1"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</row>
    <row r="901" ht="12.75" customHeight="1"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</row>
    <row r="902" ht="12.75" customHeight="1"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</row>
    <row r="903" ht="12.75" customHeight="1"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</row>
    <row r="904" ht="12.75" customHeight="1"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</row>
    <row r="905" ht="12.75" customHeight="1"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</row>
    <row r="906" ht="12.75" customHeight="1"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</row>
    <row r="907" ht="12.75" customHeight="1"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</row>
    <row r="908" ht="12.75" customHeight="1"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</row>
    <row r="909" ht="12.75" customHeight="1"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</row>
    <row r="910" ht="12.75" customHeight="1"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</row>
    <row r="911" ht="12.75" customHeight="1"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</row>
    <row r="912" ht="12.75" customHeight="1"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</row>
    <row r="913" ht="12.75" customHeight="1"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</row>
    <row r="914" ht="12.75" customHeight="1"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</row>
    <row r="915" ht="12.75" customHeight="1"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</row>
    <row r="916" ht="12.75" customHeight="1"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</row>
    <row r="917" ht="12.75" customHeight="1"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</row>
    <row r="918" ht="12.75" customHeight="1"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</row>
    <row r="919" ht="12.75" customHeight="1"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</row>
    <row r="920" ht="12.75" customHeight="1"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</row>
    <row r="921" ht="12.75" customHeight="1"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</row>
    <row r="922" ht="12.75" customHeight="1"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</row>
    <row r="923" ht="12.75" customHeight="1"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</row>
    <row r="924" ht="12.75" customHeight="1"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</row>
    <row r="925" ht="12.75" customHeight="1"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</row>
    <row r="926" ht="12.75" customHeight="1"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</row>
    <row r="927" ht="12.75" customHeight="1"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</row>
    <row r="928" ht="12.75" customHeight="1"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</row>
    <row r="929" ht="12.75" customHeight="1"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</row>
    <row r="930" ht="12.75" customHeight="1"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</row>
    <row r="931" ht="12.75" customHeight="1"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</row>
    <row r="932" ht="12.75" customHeight="1"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</row>
    <row r="933" ht="12.75" customHeight="1"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</row>
    <row r="934" ht="12.75" customHeight="1"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</row>
    <row r="935" ht="12.75" customHeight="1"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</row>
    <row r="936" ht="12.75" customHeight="1"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</row>
    <row r="937" ht="12.75" customHeight="1"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</row>
    <row r="938" ht="12.75" customHeight="1"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</row>
    <row r="939" ht="12.75" customHeight="1"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</row>
    <row r="940" ht="12.75" customHeight="1"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</row>
    <row r="941" ht="12.75" customHeight="1"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</row>
    <row r="942" ht="12.75" customHeight="1"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</row>
    <row r="943" ht="12.75" customHeight="1"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</row>
    <row r="944" ht="12.75" customHeight="1"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</row>
    <row r="945" ht="12.75" customHeight="1"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</row>
    <row r="946" ht="12.75" customHeight="1"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</row>
    <row r="947" ht="12.75" customHeight="1"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</row>
    <row r="948" ht="12.75" customHeight="1"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</row>
    <row r="949" ht="12.75" customHeight="1"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</row>
    <row r="950" ht="12.75" customHeight="1"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</row>
    <row r="951" ht="12.75" customHeight="1"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</row>
    <row r="952" ht="12.75" customHeight="1"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</row>
    <row r="953" ht="12.75" customHeight="1"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</row>
    <row r="954" ht="12.75" customHeight="1"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</row>
    <row r="955" ht="12.75" customHeight="1"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</row>
    <row r="956" ht="12.75" customHeight="1"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</row>
    <row r="957" ht="12.75" customHeight="1"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</row>
    <row r="958" ht="12.75" customHeight="1"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</row>
    <row r="959" ht="12.75" customHeight="1"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</row>
    <row r="960" ht="12.75" customHeight="1"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</row>
    <row r="961" ht="12.75" customHeight="1"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</row>
    <row r="962" ht="12.75" customHeight="1"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</row>
    <row r="963" ht="12.75" customHeight="1"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</row>
    <row r="964" ht="12.75" customHeight="1"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</row>
    <row r="965" ht="12.75" customHeight="1"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</row>
    <row r="966" ht="12.75" customHeight="1"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</row>
    <row r="967" ht="12.75" customHeight="1"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</row>
    <row r="968" ht="12.75" customHeight="1"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</row>
    <row r="969" ht="12.75" customHeight="1"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</row>
    <row r="970" ht="12.75" customHeight="1"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</row>
    <row r="971" ht="12.75" customHeight="1"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</row>
    <row r="972" ht="12.75" customHeight="1"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</row>
    <row r="973" ht="12.75" customHeight="1"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</row>
    <row r="974" ht="12.75" customHeight="1"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</row>
    <row r="975" ht="12.75" customHeight="1"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</row>
    <row r="976" ht="12.75" customHeight="1"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</row>
    <row r="977" ht="12.75" customHeight="1"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</row>
    <row r="978" ht="12.75" customHeight="1"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</row>
    <row r="979" ht="12.75" customHeight="1"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</row>
    <row r="980" ht="12.75" customHeight="1"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</row>
    <row r="981" ht="12.75" customHeight="1"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</row>
    <row r="982" ht="12.75" customHeight="1"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</row>
    <row r="983" ht="12.75" customHeight="1"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</row>
    <row r="984" ht="12.75" customHeight="1"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</row>
    <row r="985" ht="12.75" customHeight="1"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</row>
    <row r="986" ht="12.75" customHeight="1"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</row>
    <row r="987" ht="12.75" customHeight="1"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</row>
    <row r="988" ht="12.75" customHeight="1"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</row>
    <row r="989" ht="12.75" customHeight="1"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</row>
    <row r="990" ht="12.75" customHeight="1"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</row>
    <row r="991" ht="12.75" customHeight="1"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</row>
    <row r="992" ht="12.75" customHeight="1"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</row>
    <row r="993" ht="12.75" customHeight="1"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</row>
    <row r="994" ht="12.75" customHeight="1"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</row>
    <row r="995" ht="12.75" customHeight="1"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</row>
    <row r="996" ht="12.75" customHeight="1"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</row>
    <row r="997" ht="12.75" customHeight="1"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</row>
    <row r="998" ht="12.75" customHeight="1"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</row>
    <row r="999" ht="12.75" customHeight="1"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</row>
    <row r="1000" ht="12.75" customHeight="1"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</row>
  </sheetData>
  <mergeCells count="13">
    <mergeCell ref="F4:G4"/>
    <mergeCell ref="H4:I4"/>
    <mergeCell ref="J4:K4"/>
    <mergeCell ref="L4:M4"/>
    <mergeCell ref="N4:O4"/>
    <mergeCell ref="P4:Q4"/>
    <mergeCell ref="A1:Q1"/>
    <mergeCell ref="A2:Q2"/>
    <mergeCell ref="A3:Q3"/>
    <mergeCell ref="A4:A5"/>
    <mergeCell ref="B4:B5"/>
    <mergeCell ref="C4:C5"/>
    <mergeCell ref="D4:E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63"/>
    <col customWidth="1" min="2" max="2" width="17.0"/>
    <col customWidth="1" min="3" max="3" width="21.88"/>
    <col customWidth="1" min="4" max="4" width="9.25"/>
    <col customWidth="1" hidden="1" min="5" max="6" width="9.25"/>
    <col customWidth="1" min="7" max="7" width="9.25"/>
    <col customWidth="1" hidden="1" min="8" max="9" width="9.25"/>
    <col customWidth="1" min="10" max="10" width="9.25"/>
    <col customWidth="1" hidden="1" min="11" max="12" width="9.25"/>
    <col customWidth="1" min="13" max="13" width="9.25"/>
    <col customWidth="1" hidden="1" min="14" max="15" width="9.25"/>
    <col customWidth="1" min="16" max="16" width="9.25"/>
    <col customWidth="1" hidden="1" min="17" max="18" width="9.25"/>
    <col customWidth="1" min="19" max="19" width="9.25"/>
    <col customWidth="1" hidden="1" min="20" max="21" width="9.25"/>
    <col customWidth="1" min="22" max="22" width="9.25"/>
    <col customWidth="1" hidden="1" min="23" max="23" width="9.25"/>
    <col customWidth="1" hidden="1" min="24" max="24" width="8.63"/>
    <col customWidth="1" min="25" max="26" width="8.63"/>
  </cols>
  <sheetData>
    <row r="1" ht="19.5" customHeight="1">
      <c r="A1" s="67" t="s">
        <v>120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</row>
    <row r="2" ht="19.5" customHeight="1">
      <c r="A2" s="6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7"/>
    </row>
    <row r="3" ht="19.5" customHeight="1">
      <c r="A3" s="67" t="s">
        <v>145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ht="19.5" customHeight="1">
      <c r="A4" s="68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</row>
    <row r="5" ht="19.5" customHeight="1">
      <c r="A5" s="69" t="s">
        <v>4</v>
      </c>
      <c r="B5" s="69" t="s">
        <v>5</v>
      </c>
      <c r="C5" s="69" t="s">
        <v>6</v>
      </c>
      <c r="D5" s="70" t="s">
        <v>122</v>
      </c>
      <c r="E5" s="71"/>
      <c r="F5" s="72"/>
      <c r="G5" s="73" t="s">
        <v>123</v>
      </c>
      <c r="H5" s="71"/>
      <c r="I5" s="72"/>
      <c r="J5" s="74" t="s">
        <v>9</v>
      </c>
      <c r="K5" s="71"/>
      <c r="L5" s="72"/>
      <c r="M5" s="75" t="s">
        <v>10</v>
      </c>
      <c r="N5" s="71"/>
      <c r="O5" s="72"/>
      <c r="P5" s="76" t="s">
        <v>11</v>
      </c>
      <c r="Q5" s="71"/>
      <c r="R5" s="72"/>
      <c r="S5" s="77" t="s">
        <v>146</v>
      </c>
      <c r="T5" s="71"/>
      <c r="U5" s="72"/>
      <c r="V5" s="78" t="s">
        <v>13</v>
      </c>
      <c r="W5" s="79"/>
      <c r="X5" s="80"/>
    </row>
    <row r="6" ht="19.5" customHeight="1">
      <c r="A6" s="37"/>
      <c r="B6" s="37"/>
      <c r="C6" s="37"/>
      <c r="D6" s="81" t="s">
        <v>147</v>
      </c>
      <c r="E6" s="81" t="s">
        <v>148</v>
      </c>
      <c r="F6" s="82" t="s">
        <v>124</v>
      </c>
      <c r="G6" s="81" t="s">
        <v>147</v>
      </c>
      <c r="H6" s="81" t="s">
        <v>148</v>
      </c>
      <c r="I6" s="82" t="s">
        <v>124</v>
      </c>
      <c r="J6" s="81" t="s">
        <v>147</v>
      </c>
      <c r="K6" s="81" t="s">
        <v>148</v>
      </c>
      <c r="L6" s="82" t="s">
        <v>124</v>
      </c>
      <c r="M6" s="81" t="s">
        <v>147</v>
      </c>
      <c r="N6" s="81" t="s">
        <v>148</v>
      </c>
      <c r="O6" s="82" t="s">
        <v>124</v>
      </c>
      <c r="P6" s="81" t="s">
        <v>147</v>
      </c>
      <c r="Q6" s="81" t="s">
        <v>148</v>
      </c>
      <c r="R6" s="82" t="s">
        <v>124</v>
      </c>
      <c r="S6" s="81" t="s">
        <v>147</v>
      </c>
      <c r="T6" s="81" t="s">
        <v>148</v>
      </c>
      <c r="U6" s="82" t="s">
        <v>124</v>
      </c>
      <c r="V6" s="81" t="s">
        <v>147</v>
      </c>
      <c r="W6" s="81" t="s">
        <v>148</v>
      </c>
      <c r="X6" s="82" t="s">
        <v>124</v>
      </c>
    </row>
    <row r="7" ht="19.5" customHeight="1">
      <c r="A7" s="16">
        <v>1.0</v>
      </c>
      <c r="B7" s="16" t="s">
        <v>20</v>
      </c>
      <c r="C7" s="38" t="s">
        <v>125</v>
      </c>
      <c r="D7" s="64">
        <v>0.0</v>
      </c>
      <c r="E7" s="65"/>
      <c r="F7" s="83">
        <f t="shared" ref="F7:F56" si="1">SUM(D7+E7)*10/80</f>
        <v>0</v>
      </c>
      <c r="G7" s="64">
        <v>27.0</v>
      </c>
      <c r="H7" s="65"/>
      <c r="I7" s="83">
        <f t="shared" ref="I7:I56" si="2">SUM(G7+H7)*10/80</f>
        <v>3.375</v>
      </c>
      <c r="J7" s="64">
        <v>5.0</v>
      </c>
      <c r="K7" s="65"/>
      <c r="L7" s="83">
        <f t="shared" ref="L7:L56" si="3">SUM(J7+K7)*10/80</f>
        <v>0.625</v>
      </c>
      <c r="M7" s="64">
        <v>25.0</v>
      </c>
      <c r="N7" s="65"/>
      <c r="O7" s="83">
        <f t="shared" ref="O7:O56" si="4">SUM(M7+N7)*10/80</f>
        <v>3.125</v>
      </c>
      <c r="P7" s="64">
        <v>24.0</v>
      </c>
      <c r="Q7" s="65"/>
      <c r="R7" s="83">
        <f t="shared" ref="R7:R56" si="5">SUM(P7+Q7)*10/80</f>
        <v>3</v>
      </c>
      <c r="S7" s="64">
        <v>31.0</v>
      </c>
      <c r="T7" s="65"/>
      <c r="U7" s="83">
        <f t="shared" ref="U7:U56" si="6">SUM(S7+T7)*10/80</f>
        <v>3.875</v>
      </c>
      <c r="V7" s="64">
        <v>20.0</v>
      </c>
      <c r="W7" s="65"/>
      <c r="X7" s="83">
        <f t="shared" ref="X7:X56" si="7">SUM(V7+W7)*10/60</f>
        <v>3.333333333</v>
      </c>
    </row>
    <row r="8" ht="19.5" customHeight="1">
      <c r="A8" s="23">
        <v>2.0</v>
      </c>
      <c r="B8" s="24" t="s">
        <v>22</v>
      </c>
      <c r="C8" s="25" t="s">
        <v>23</v>
      </c>
      <c r="D8" s="64">
        <v>19.0</v>
      </c>
      <c r="E8" s="65"/>
      <c r="F8" s="83">
        <f t="shared" si="1"/>
        <v>2.375</v>
      </c>
      <c r="G8" s="64">
        <v>21.0</v>
      </c>
      <c r="H8" s="65"/>
      <c r="I8" s="83">
        <f t="shared" si="2"/>
        <v>2.625</v>
      </c>
      <c r="J8" s="64">
        <v>0.0</v>
      </c>
      <c r="K8" s="65"/>
      <c r="L8" s="83">
        <f t="shared" si="3"/>
        <v>0</v>
      </c>
      <c r="M8" s="64">
        <v>0.0</v>
      </c>
      <c r="N8" s="65"/>
      <c r="O8" s="83">
        <f t="shared" si="4"/>
        <v>0</v>
      </c>
      <c r="P8" s="84">
        <v>0.0</v>
      </c>
      <c r="Q8" s="85"/>
      <c r="R8" s="86">
        <f t="shared" si="5"/>
        <v>0</v>
      </c>
      <c r="S8" s="84">
        <v>0.0</v>
      </c>
      <c r="T8" s="64"/>
      <c r="U8" s="83">
        <f t="shared" si="6"/>
        <v>0</v>
      </c>
      <c r="V8" s="64">
        <v>15.0</v>
      </c>
      <c r="W8" s="65"/>
      <c r="X8" s="83">
        <f t="shared" si="7"/>
        <v>2.5</v>
      </c>
    </row>
    <row r="9" ht="19.5" customHeight="1">
      <c r="A9" s="23">
        <v>3.0</v>
      </c>
      <c r="B9" s="24" t="s">
        <v>24</v>
      </c>
      <c r="C9" s="25" t="s">
        <v>25</v>
      </c>
      <c r="D9" s="64">
        <v>6.0</v>
      </c>
      <c r="E9" s="65"/>
      <c r="F9" s="83">
        <f t="shared" si="1"/>
        <v>0.75</v>
      </c>
      <c r="G9" s="64">
        <v>21.0</v>
      </c>
      <c r="H9" s="65"/>
      <c r="I9" s="83">
        <f t="shared" si="2"/>
        <v>2.625</v>
      </c>
      <c r="J9" s="64">
        <v>12.0</v>
      </c>
      <c r="K9" s="65"/>
      <c r="L9" s="83">
        <f t="shared" si="3"/>
        <v>1.5</v>
      </c>
      <c r="M9" s="64">
        <v>16.0</v>
      </c>
      <c r="N9" s="65"/>
      <c r="O9" s="83">
        <f t="shared" si="4"/>
        <v>2</v>
      </c>
      <c r="P9" s="64">
        <v>9.0</v>
      </c>
      <c r="Q9" s="65"/>
      <c r="R9" s="83">
        <f t="shared" si="5"/>
        <v>1.125</v>
      </c>
      <c r="S9" s="64">
        <v>18.0</v>
      </c>
      <c r="T9" s="65"/>
      <c r="U9" s="83">
        <f t="shared" si="6"/>
        <v>2.25</v>
      </c>
      <c r="V9" s="64">
        <v>13.0</v>
      </c>
      <c r="W9" s="65"/>
      <c r="X9" s="83">
        <f t="shared" si="7"/>
        <v>2.166666667</v>
      </c>
    </row>
    <row r="10" ht="19.5" customHeight="1">
      <c r="A10" s="23">
        <v>4.0</v>
      </c>
      <c r="B10" s="24" t="s">
        <v>26</v>
      </c>
      <c r="C10" s="25" t="s">
        <v>27</v>
      </c>
      <c r="D10" s="64">
        <v>31.0</v>
      </c>
      <c r="E10" s="65"/>
      <c r="F10" s="83">
        <f t="shared" si="1"/>
        <v>3.875</v>
      </c>
      <c r="G10" s="64">
        <v>33.0</v>
      </c>
      <c r="H10" s="65"/>
      <c r="I10" s="83">
        <f t="shared" si="2"/>
        <v>4.125</v>
      </c>
      <c r="J10" s="64">
        <v>26.0</v>
      </c>
      <c r="K10" s="65"/>
      <c r="L10" s="83">
        <f t="shared" si="3"/>
        <v>3.25</v>
      </c>
      <c r="M10" s="64">
        <v>38.0</v>
      </c>
      <c r="N10" s="65"/>
      <c r="O10" s="83">
        <f t="shared" si="4"/>
        <v>4.75</v>
      </c>
      <c r="P10" s="64">
        <v>18.0</v>
      </c>
      <c r="Q10" s="65"/>
      <c r="R10" s="83">
        <f t="shared" si="5"/>
        <v>2.25</v>
      </c>
      <c r="S10" s="64">
        <v>40.0</v>
      </c>
      <c r="T10" s="65"/>
      <c r="U10" s="83">
        <f t="shared" si="6"/>
        <v>5</v>
      </c>
      <c r="V10" s="64">
        <v>30.0</v>
      </c>
      <c r="W10" s="65"/>
      <c r="X10" s="83">
        <f t="shared" si="7"/>
        <v>5</v>
      </c>
    </row>
    <row r="11" ht="19.5" customHeight="1">
      <c r="A11" s="23">
        <v>5.0</v>
      </c>
      <c r="B11" s="24" t="s">
        <v>28</v>
      </c>
      <c r="C11" s="25" t="s">
        <v>29</v>
      </c>
      <c r="D11" s="64">
        <v>33.0</v>
      </c>
      <c r="E11" s="65"/>
      <c r="F11" s="83">
        <f t="shared" si="1"/>
        <v>4.125</v>
      </c>
      <c r="G11" s="64">
        <v>26.0</v>
      </c>
      <c r="H11" s="65"/>
      <c r="I11" s="83">
        <f t="shared" si="2"/>
        <v>3.25</v>
      </c>
      <c r="J11" s="64">
        <v>36.0</v>
      </c>
      <c r="K11" s="65"/>
      <c r="L11" s="83">
        <f t="shared" si="3"/>
        <v>4.5</v>
      </c>
      <c r="M11" s="64">
        <v>40.0</v>
      </c>
      <c r="N11" s="65"/>
      <c r="O11" s="83">
        <f t="shared" si="4"/>
        <v>5</v>
      </c>
      <c r="P11" s="64">
        <v>19.0</v>
      </c>
      <c r="Q11" s="65"/>
      <c r="R11" s="83">
        <f t="shared" si="5"/>
        <v>2.375</v>
      </c>
      <c r="S11" s="64">
        <v>24.0</v>
      </c>
      <c r="T11" s="65"/>
      <c r="U11" s="83">
        <f t="shared" si="6"/>
        <v>3</v>
      </c>
      <c r="V11" s="64">
        <v>25.0</v>
      </c>
      <c r="W11" s="65"/>
      <c r="X11" s="83">
        <f t="shared" si="7"/>
        <v>4.166666667</v>
      </c>
    </row>
    <row r="12" ht="19.5" customHeight="1">
      <c r="A12" s="23">
        <v>6.0</v>
      </c>
      <c r="B12" s="24" t="s">
        <v>30</v>
      </c>
      <c r="C12" s="25" t="s">
        <v>31</v>
      </c>
      <c r="D12" s="64">
        <v>0.0</v>
      </c>
      <c r="E12" s="65"/>
      <c r="F12" s="83">
        <f t="shared" si="1"/>
        <v>0</v>
      </c>
      <c r="G12" s="64">
        <v>19.0</v>
      </c>
      <c r="H12" s="65"/>
      <c r="I12" s="83">
        <f t="shared" si="2"/>
        <v>2.375</v>
      </c>
      <c r="J12" s="64">
        <v>8.0</v>
      </c>
      <c r="K12" s="65"/>
      <c r="L12" s="83">
        <f t="shared" si="3"/>
        <v>1</v>
      </c>
      <c r="M12" s="64">
        <v>14.0</v>
      </c>
      <c r="N12" s="65"/>
      <c r="O12" s="83">
        <f t="shared" si="4"/>
        <v>1.75</v>
      </c>
      <c r="P12" s="64">
        <v>1.0</v>
      </c>
      <c r="Q12" s="65"/>
      <c r="R12" s="83">
        <f t="shared" si="5"/>
        <v>0.125</v>
      </c>
      <c r="S12" s="64">
        <v>17.0</v>
      </c>
      <c r="T12" s="65"/>
      <c r="U12" s="83">
        <f t="shared" si="6"/>
        <v>2.125</v>
      </c>
      <c r="V12" s="64">
        <v>6.0</v>
      </c>
      <c r="W12" s="65"/>
      <c r="X12" s="83">
        <f t="shared" si="7"/>
        <v>1</v>
      </c>
    </row>
    <row r="13" ht="19.5" customHeight="1">
      <c r="A13" s="23">
        <v>7.0</v>
      </c>
      <c r="B13" s="24" t="s">
        <v>32</v>
      </c>
      <c r="C13" s="25" t="s">
        <v>33</v>
      </c>
      <c r="D13" s="64">
        <v>5.0</v>
      </c>
      <c r="E13" s="65"/>
      <c r="F13" s="83">
        <f t="shared" si="1"/>
        <v>0.625</v>
      </c>
      <c r="G13" s="64">
        <v>19.0</v>
      </c>
      <c r="H13" s="65"/>
      <c r="I13" s="83">
        <f t="shared" si="2"/>
        <v>2.375</v>
      </c>
      <c r="J13" s="64">
        <v>12.0</v>
      </c>
      <c r="K13" s="65"/>
      <c r="L13" s="83">
        <f t="shared" si="3"/>
        <v>1.5</v>
      </c>
      <c r="M13" s="64">
        <v>24.0</v>
      </c>
      <c r="N13" s="65"/>
      <c r="O13" s="83">
        <f t="shared" si="4"/>
        <v>3</v>
      </c>
      <c r="P13" s="64">
        <v>17.0</v>
      </c>
      <c r="Q13" s="65"/>
      <c r="R13" s="83">
        <f t="shared" si="5"/>
        <v>2.125</v>
      </c>
      <c r="S13" s="64">
        <v>30.0</v>
      </c>
      <c r="T13" s="65"/>
      <c r="U13" s="83">
        <f t="shared" si="6"/>
        <v>3.75</v>
      </c>
      <c r="V13" s="64">
        <v>11.0</v>
      </c>
      <c r="W13" s="65"/>
      <c r="X13" s="83">
        <f t="shared" si="7"/>
        <v>1.833333333</v>
      </c>
    </row>
    <row r="14" ht="19.5" customHeight="1">
      <c r="A14" s="23">
        <v>8.0</v>
      </c>
      <c r="B14" s="24" t="s">
        <v>34</v>
      </c>
      <c r="C14" s="25" t="s">
        <v>35</v>
      </c>
      <c r="D14" s="64">
        <v>3.0</v>
      </c>
      <c r="E14" s="65"/>
      <c r="F14" s="83">
        <f t="shared" si="1"/>
        <v>0.375</v>
      </c>
      <c r="G14" s="64">
        <v>19.0</v>
      </c>
      <c r="H14" s="65"/>
      <c r="I14" s="83">
        <f t="shared" si="2"/>
        <v>2.375</v>
      </c>
      <c r="J14" s="64">
        <v>0.0</v>
      </c>
      <c r="K14" s="65"/>
      <c r="L14" s="83">
        <f t="shared" si="3"/>
        <v>0</v>
      </c>
      <c r="M14" s="64">
        <v>15.0</v>
      </c>
      <c r="N14" s="65"/>
      <c r="O14" s="83">
        <f t="shared" si="4"/>
        <v>1.875</v>
      </c>
      <c r="P14" s="64">
        <v>11.0</v>
      </c>
      <c r="Q14" s="65"/>
      <c r="R14" s="83">
        <f t="shared" si="5"/>
        <v>1.375</v>
      </c>
      <c r="S14" s="64">
        <v>8.0</v>
      </c>
      <c r="T14" s="65"/>
      <c r="U14" s="83">
        <f t="shared" si="6"/>
        <v>1</v>
      </c>
      <c r="V14" s="64">
        <v>12.0</v>
      </c>
      <c r="W14" s="65"/>
      <c r="X14" s="83">
        <f t="shared" si="7"/>
        <v>2</v>
      </c>
    </row>
    <row r="15" ht="19.5" customHeight="1">
      <c r="A15" s="23">
        <v>9.0</v>
      </c>
      <c r="B15" s="24" t="s">
        <v>36</v>
      </c>
      <c r="C15" s="25" t="s">
        <v>37</v>
      </c>
      <c r="D15" s="64">
        <v>20.0</v>
      </c>
      <c r="E15" s="65"/>
      <c r="F15" s="83">
        <f t="shared" si="1"/>
        <v>2.5</v>
      </c>
      <c r="G15" s="64">
        <v>14.0</v>
      </c>
      <c r="H15" s="65"/>
      <c r="I15" s="83">
        <f t="shared" si="2"/>
        <v>1.75</v>
      </c>
      <c r="J15" s="64">
        <v>11.0</v>
      </c>
      <c r="K15" s="65"/>
      <c r="L15" s="83">
        <f t="shared" si="3"/>
        <v>1.375</v>
      </c>
      <c r="M15" s="64">
        <v>15.0</v>
      </c>
      <c r="N15" s="65"/>
      <c r="O15" s="83">
        <f t="shared" si="4"/>
        <v>1.875</v>
      </c>
      <c r="P15" s="64">
        <v>14.0</v>
      </c>
      <c r="Q15" s="65"/>
      <c r="R15" s="83">
        <f t="shared" si="5"/>
        <v>1.75</v>
      </c>
      <c r="S15" s="64">
        <v>30.0</v>
      </c>
      <c r="T15" s="65"/>
      <c r="U15" s="83">
        <f t="shared" si="6"/>
        <v>3.75</v>
      </c>
      <c r="V15" s="64">
        <v>6.0</v>
      </c>
      <c r="W15" s="65"/>
      <c r="X15" s="83">
        <f t="shared" si="7"/>
        <v>1</v>
      </c>
    </row>
    <row r="16" ht="19.5" customHeight="1">
      <c r="A16" s="23">
        <v>10.0</v>
      </c>
      <c r="B16" s="24" t="s">
        <v>38</v>
      </c>
      <c r="C16" s="25" t="s">
        <v>39</v>
      </c>
      <c r="D16" s="64">
        <v>18.0</v>
      </c>
      <c r="E16" s="65"/>
      <c r="F16" s="83">
        <f t="shared" si="1"/>
        <v>2.25</v>
      </c>
      <c r="G16" s="64">
        <v>29.0</v>
      </c>
      <c r="H16" s="65"/>
      <c r="I16" s="83">
        <f t="shared" si="2"/>
        <v>3.625</v>
      </c>
      <c r="J16" s="64">
        <v>20.0</v>
      </c>
      <c r="K16" s="65"/>
      <c r="L16" s="83">
        <f t="shared" si="3"/>
        <v>2.5</v>
      </c>
      <c r="M16" s="64">
        <v>33.0</v>
      </c>
      <c r="N16" s="65"/>
      <c r="O16" s="83">
        <f t="shared" si="4"/>
        <v>4.125</v>
      </c>
      <c r="P16" s="64">
        <v>18.0</v>
      </c>
      <c r="Q16" s="65"/>
      <c r="R16" s="83">
        <f t="shared" si="5"/>
        <v>2.25</v>
      </c>
      <c r="S16" s="64">
        <v>31.0</v>
      </c>
      <c r="T16" s="65"/>
      <c r="U16" s="83">
        <f t="shared" si="6"/>
        <v>3.875</v>
      </c>
      <c r="V16" s="64">
        <v>16.0</v>
      </c>
      <c r="W16" s="65"/>
      <c r="X16" s="83">
        <f t="shared" si="7"/>
        <v>2.666666667</v>
      </c>
    </row>
    <row r="17" ht="19.5" customHeight="1">
      <c r="A17" s="23">
        <v>11.0</v>
      </c>
      <c r="B17" s="24" t="s">
        <v>40</v>
      </c>
      <c r="C17" s="25" t="s">
        <v>41</v>
      </c>
      <c r="D17" s="64">
        <v>28.0</v>
      </c>
      <c r="E17" s="65"/>
      <c r="F17" s="83">
        <f t="shared" si="1"/>
        <v>3.5</v>
      </c>
      <c r="G17" s="64">
        <v>34.0</v>
      </c>
      <c r="H17" s="65"/>
      <c r="I17" s="83">
        <f t="shared" si="2"/>
        <v>4.25</v>
      </c>
      <c r="J17" s="64">
        <v>20.0</v>
      </c>
      <c r="K17" s="65"/>
      <c r="L17" s="83">
        <f t="shared" si="3"/>
        <v>2.5</v>
      </c>
      <c r="M17" s="64">
        <v>34.0</v>
      </c>
      <c r="N17" s="65"/>
      <c r="O17" s="83">
        <f t="shared" si="4"/>
        <v>4.25</v>
      </c>
      <c r="P17" s="64">
        <v>26.0</v>
      </c>
      <c r="Q17" s="65"/>
      <c r="R17" s="83">
        <f t="shared" si="5"/>
        <v>3.25</v>
      </c>
      <c r="S17" s="64">
        <v>31.0</v>
      </c>
      <c r="T17" s="65"/>
      <c r="U17" s="83">
        <f t="shared" si="6"/>
        <v>3.875</v>
      </c>
      <c r="V17" s="64">
        <v>25.0</v>
      </c>
      <c r="W17" s="65"/>
      <c r="X17" s="83">
        <f t="shared" si="7"/>
        <v>4.166666667</v>
      </c>
    </row>
    <row r="18" ht="19.5" customHeight="1">
      <c r="A18" s="23">
        <v>12.0</v>
      </c>
      <c r="B18" s="24" t="s">
        <v>42</v>
      </c>
      <c r="C18" s="25" t="s">
        <v>43</v>
      </c>
      <c r="D18" s="64">
        <v>22.0</v>
      </c>
      <c r="E18" s="65"/>
      <c r="F18" s="83">
        <f t="shared" si="1"/>
        <v>2.75</v>
      </c>
      <c r="G18" s="64">
        <v>23.0</v>
      </c>
      <c r="H18" s="65"/>
      <c r="I18" s="83">
        <f t="shared" si="2"/>
        <v>2.875</v>
      </c>
      <c r="J18" s="64">
        <v>24.0</v>
      </c>
      <c r="K18" s="65"/>
      <c r="L18" s="83">
        <f t="shared" si="3"/>
        <v>3</v>
      </c>
      <c r="M18" s="64">
        <v>26.0</v>
      </c>
      <c r="N18" s="65"/>
      <c r="O18" s="83">
        <f t="shared" si="4"/>
        <v>3.25</v>
      </c>
      <c r="P18" s="64">
        <v>11.0</v>
      </c>
      <c r="Q18" s="65"/>
      <c r="R18" s="83">
        <f t="shared" si="5"/>
        <v>1.375</v>
      </c>
      <c r="S18" s="64">
        <v>31.0</v>
      </c>
      <c r="T18" s="65"/>
      <c r="U18" s="83">
        <f t="shared" si="6"/>
        <v>3.875</v>
      </c>
      <c r="V18" s="64">
        <v>4.0</v>
      </c>
      <c r="W18" s="65"/>
      <c r="X18" s="83">
        <f t="shared" si="7"/>
        <v>0.6666666667</v>
      </c>
    </row>
    <row r="19" ht="19.5" customHeight="1">
      <c r="A19" s="23">
        <v>13.0</v>
      </c>
      <c r="B19" s="24" t="s">
        <v>44</v>
      </c>
      <c r="C19" s="25" t="s">
        <v>45</v>
      </c>
      <c r="D19" s="64">
        <v>37.0</v>
      </c>
      <c r="E19" s="65"/>
      <c r="F19" s="83">
        <f t="shared" si="1"/>
        <v>4.625</v>
      </c>
      <c r="G19" s="64">
        <v>35.0</v>
      </c>
      <c r="H19" s="65"/>
      <c r="I19" s="83">
        <f t="shared" si="2"/>
        <v>4.375</v>
      </c>
      <c r="J19" s="64">
        <v>16.0</v>
      </c>
      <c r="K19" s="65"/>
      <c r="L19" s="83">
        <f t="shared" si="3"/>
        <v>2</v>
      </c>
      <c r="M19" s="64">
        <v>34.0</v>
      </c>
      <c r="N19" s="65"/>
      <c r="O19" s="83">
        <f t="shared" si="4"/>
        <v>4.25</v>
      </c>
      <c r="P19" s="64">
        <v>15.0</v>
      </c>
      <c r="Q19" s="65"/>
      <c r="R19" s="83">
        <f t="shared" si="5"/>
        <v>1.875</v>
      </c>
      <c r="S19" s="64">
        <v>20.0</v>
      </c>
      <c r="T19" s="65"/>
      <c r="U19" s="83">
        <f t="shared" si="6"/>
        <v>2.5</v>
      </c>
      <c r="V19" s="64">
        <v>30.0</v>
      </c>
      <c r="W19" s="65"/>
      <c r="X19" s="83">
        <f t="shared" si="7"/>
        <v>5</v>
      </c>
    </row>
    <row r="20" ht="19.5" customHeight="1">
      <c r="A20" s="23">
        <v>14.0</v>
      </c>
      <c r="B20" s="24" t="s">
        <v>46</v>
      </c>
      <c r="C20" s="25" t="s">
        <v>47</v>
      </c>
      <c r="D20" s="64">
        <v>32.0</v>
      </c>
      <c r="E20" s="65"/>
      <c r="F20" s="83">
        <f t="shared" si="1"/>
        <v>4</v>
      </c>
      <c r="G20" s="64">
        <v>33.0</v>
      </c>
      <c r="H20" s="65"/>
      <c r="I20" s="83">
        <f t="shared" si="2"/>
        <v>4.125</v>
      </c>
      <c r="J20" s="64">
        <v>24.0</v>
      </c>
      <c r="K20" s="65"/>
      <c r="L20" s="83">
        <f t="shared" si="3"/>
        <v>3</v>
      </c>
      <c r="M20" s="64">
        <v>34.0</v>
      </c>
      <c r="N20" s="65"/>
      <c r="O20" s="83">
        <f t="shared" si="4"/>
        <v>4.25</v>
      </c>
      <c r="P20" s="64">
        <v>24.0</v>
      </c>
      <c r="Q20" s="65"/>
      <c r="R20" s="83">
        <f t="shared" si="5"/>
        <v>3</v>
      </c>
      <c r="S20" s="64">
        <v>34.0</v>
      </c>
      <c r="T20" s="65"/>
      <c r="U20" s="83">
        <f t="shared" si="6"/>
        <v>4.25</v>
      </c>
      <c r="V20" s="64">
        <v>28.0</v>
      </c>
      <c r="W20" s="65"/>
      <c r="X20" s="83">
        <f t="shared" si="7"/>
        <v>4.666666667</v>
      </c>
    </row>
    <row r="21" ht="19.5" customHeight="1">
      <c r="A21" s="23">
        <v>15.0</v>
      </c>
      <c r="B21" s="24" t="s">
        <v>48</v>
      </c>
      <c r="C21" s="25" t="s">
        <v>49</v>
      </c>
      <c r="D21" s="64">
        <v>0.0</v>
      </c>
      <c r="E21" s="65"/>
      <c r="F21" s="83">
        <f t="shared" si="1"/>
        <v>0</v>
      </c>
      <c r="G21" s="64">
        <v>16.0</v>
      </c>
      <c r="H21" s="65"/>
      <c r="I21" s="83">
        <f t="shared" si="2"/>
        <v>2</v>
      </c>
      <c r="J21" s="64">
        <v>7.0</v>
      </c>
      <c r="K21" s="65"/>
      <c r="L21" s="83">
        <f t="shared" si="3"/>
        <v>0.875</v>
      </c>
      <c r="M21" s="64">
        <v>18.0</v>
      </c>
      <c r="N21" s="65"/>
      <c r="O21" s="83">
        <f t="shared" si="4"/>
        <v>2.25</v>
      </c>
      <c r="P21" s="64">
        <v>9.0</v>
      </c>
      <c r="Q21" s="65"/>
      <c r="R21" s="83">
        <f t="shared" si="5"/>
        <v>1.125</v>
      </c>
      <c r="S21" s="64">
        <v>27.0</v>
      </c>
      <c r="T21" s="65"/>
      <c r="U21" s="83">
        <f t="shared" si="6"/>
        <v>3.375</v>
      </c>
      <c r="V21" s="64">
        <v>10.0</v>
      </c>
      <c r="W21" s="65"/>
      <c r="X21" s="83">
        <f t="shared" si="7"/>
        <v>1.666666667</v>
      </c>
    </row>
    <row r="22" ht="19.5" customHeight="1">
      <c r="A22" s="23">
        <v>16.0</v>
      </c>
      <c r="B22" s="24" t="s">
        <v>50</v>
      </c>
      <c r="C22" s="25" t="s">
        <v>51</v>
      </c>
      <c r="D22" s="64">
        <v>16.0</v>
      </c>
      <c r="E22" s="65"/>
      <c r="F22" s="83">
        <f t="shared" si="1"/>
        <v>2</v>
      </c>
      <c r="G22" s="64">
        <v>28.0</v>
      </c>
      <c r="H22" s="65"/>
      <c r="I22" s="83">
        <f t="shared" si="2"/>
        <v>3.5</v>
      </c>
      <c r="J22" s="64">
        <v>21.0</v>
      </c>
      <c r="K22" s="65"/>
      <c r="L22" s="83">
        <f t="shared" si="3"/>
        <v>2.625</v>
      </c>
      <c r="M22" s="64">
        <v>27.0</v>
      </c>
      <c r="N22" s="65"/>
      <c r="O22" s="83">
        <f t="shared" si="4"/>
        <v>3.375</v>
      </c>
      <c r="P22" s="64">
        <v>21.0</v>
      </c>
      <c r="Q22" s="65"/>
      <c r="R22" s="83">
        <f t="shared" si="5"/>
        <v>2.625</v>
      </c>
      <c r="S22" s="64">
        <v>32.0</v>
      </c>
      <c r="T22" s="65"/>
      <c r="U22" s="83">
        <f t="shared" si="6"/>
        <v>4</v>
      </c>
      <c r="V22" s="64">
        <v>15.0</v>
      </c>
      <c r="W22" s="65"/>
      <c r="X22" s="83">
        <f t="shared" si="7"/>
        <v>2.5</v>
      </c>
    </row>
    <row r="23" ht="19.5" customHeight="1">
      <c r="A23" s="23">
        <v>17.0</v>
      </c>
      <c r="B23" s="24" t="s">
        <v>52</v>
      </c>
      <c r="C23" s="25" t="s">
        <v>53</v>
      </c>
      <c r="D23" s="64">
        <v>27.0</v>
      </c>
      <c r="E23" s="65"/>
      <c r="F23" s="83">
        <f t="shared" si="1"/>
        <v>3.375</v>
      </c>
      <c r="G23" s="64">
        <v>34.0</v>
      </c>
      <c r="H23" s="65"/>
      <c r="I23" s="83">
        <f t="shared" si="2"/>
        <v>4.25</v>
      </c>
      <c r="J23" s="64">
        <v>36.0</v>
      </c>
      <c r="K23" s="65"/>
      <c r="L23" s="83">
        <f t="shared" si="3"/>
        <v>4.5</v>
      </c>
      <c r="M23" s="64">
        <v>24.0</v>
      </c>
      <c r="N23" s="65"/>
      <c r="O23" s="83">
        <f t="shared" si="4"/>
        <v>3</v>
      </c>
      <c r="P23" s="64">
        <v>17.0</v>
      </c>
      <c r="Q23" s="65"/>
      <c r="R23" s="83">
        <f t="shared" si="5"/>
        <v>2.125</v>
      </c>
      <c r="S23" s="64">
        <v>28.0</v>
      </c>
      <c r="T23" s="65"/>
      <c r="U23" s="83">
        <f t="shared" si="6"/>
        <v>3.5</v>
      </c>
      <c r="V23" s="64">
        <v>30.0</v>
      </c>
      <c r="W23" s="65"/>
      <c r="X23" s="83">
        <f t="shared" si="7"/>
        <v>5</v>
      </c>
    </row>
    <row r="24" ht="19.5" customHeight="1">
      <c r="A24" s="23">
        <v>18.0</v>
      </c>
      <c r="B24" s="24" t="s">
        <v>54</v>
      </c>
      <c r="C24" s="25" t="s">
        <v>55</v>
      </c>
      <c r="D24" s="64">
        <v>14.0</v>
      </c>
      <c r="E24" s="65"/>
      <c r="F24" s="83">
        <f t="shared" si="1"/>
        <v>1.75</v>
      </c>
      <c r="G24" s="64">
        <v>10.0</v>
      </c>
      <c r="H24" s="65"/>
      <c r="I24" s="83">
        <f t="shared" si="2"/>
        <v>1.25</v>
      </c>
      <c r="J24" s="64">
        <v>20.0</v>
      </c>
      <c r="K24" s="65"/>
      <c r="L24" s="83">
        <f t="shared" si="3"/>
        <v>2.5</v>
      </c>
      <c r="M24" s="64">
        <v>18.0</v>
      </c>
      <c r="N24" s="65"/>
      <c r="O24" s="83">
        <f t="shared" si="4"/>
        <v>2.25</v>
      </c>
      <c r="P24" s="64">
        <v>4.0</v>
      </c>
      <c r="Q24" s="65"/>
      <c r="R24" s="83">
        <f t="shared" si="5"/>
        <v>0.5</v>
      </c>
      <c r="S24" s="64">
        <v>10.0</v>
      </c>
      <c r="T24" s="65"/>
      <c r="U24" s="83">
        <f t="shared" si="6"/>
        <v>1.25</v>
      </c>
      <c r="V24" s="64">
        <v>17.0</v>
      </c>
      <c r="W24" s="65"/>
      <c r="X24" s="83">
        <f t="shared" si="7"/>
        <v>2.833333333</v>
      </c>
    </row>
    <row r="25" ht="19.5" customHeight="1">
      <c r="A25" s="23">
        <v>19.0</v>
      </c>
      <c r="B25" s="24" t="s">
        <v>56</v>
      </c>
      <c r="C25" s="25" t="s">
        <v>57</v>
      </c>
      <c r="D25" s="64">
        <v>4.0</v>
      </c>
      <c r="E25" s="65"/>
      <c r="F25" s="83">
        <f t="shared" si="1"/>
        <v>0.5</v>
      </c>
      <c r="G25" s="64">
        <v>17.0</v>
      </c>
      <c r="H25" s="65"/>
      <c r="I25" s="83">
        <f t="shared" si="2"/>
        <v>2.125</v>
      </c>
      <c r="J25" s="64">
        <v>5.0</v>
      </c>
      <c r="K25" s="65"/>
      <c r="L25" s="83">
        <f t="shared" si="3"/>
        <v>0.625</v>
      </c>
      <c r="M25" s="64">
        <v>5.0</v>
      </c>
      <c r="N25" s="65"/>
      <c r="O25" s="83">
        <f t="shared" si="4"/>
        <v>0.625</v>
      </c>
      <c r="P25" s="64">
        <v>2.0</v>
      </c>
      <c r="Q25" s="65"/>
      <c r="R25" s="83">
        <f t="shared" si="5"/>
        <v>0.25</v>
      </c>
      <c r="S25" s="64">
        <v>12.0</v>
      </c>
      <c r="T25" s="65"/>
      <c r="U25" s="83">
        <f t="shared" si="6"/>
        <v>1.5</v>
      </c>
      <c r="V25" s="64">
        <v>3.0</v>
      </c>
      <c r="W25" s="65"/>
      <c r="X25" s="83">
        <f t="shared" si="7"/>
        <v>0.5</v>
      </c>
    </row>
    <row r="26" ht="19.5" customHeight="1">
      <c r="A26" s="23">
        <v>20.0</v>
      </c>
      <c r="B26" s="24" t="s">
        <v>58</v>
      </c>
      <c r="C26" s="25" t="s">
        <v>59</v>
      </c>
      <c r="D26" s="64">
        <v>30.0</v>
      </c>
      <c r="E26" s="65"/>
      <c r="F26" s="83">
        <f t="shared" si="1"/>
        <v>3.75</v>
      </c>
      <c r="G26" s="64">
        <v>11.0</v>
      </c>
      <c r="H26" s="65"/>
      <c r="I26" s="83">
        <f t="shared" si="2"/>
        <v>1.375</v>
      </c>
      <c r="J26" s="64">
        <v>16.0</v>
      </c>
      <c r="K26" s="65"/>
      <c r="L26" s="83">
        <f t="shared" si="3"/>
        <v>2</v>
      </c>
      <c r="M26" s="64">
        <v>22.0</v>
      </c>
      <c r="N26" s="65"/>
      <c r="O26" s="83">
        <f t="shared" si="4"/>
        <v>2.75</v>
      </c>
      <c r="P26" s="64">
        <v>4.0</v>
      </c>
      <c r="Q26" s="65"/>
      <c r="R26" s="83">
        <f t="shared" si="5"/>
        <v>0.5</v>
      </c>
      <c r="S26" s="64">
        <v>10.0</v>
      </c>
      <c r="T26" s="65"/>
      <c r="U26" s="83">
        <f t="shared" si="6"/>
        <v>1.25</v>
      </c>
      <c r="V26" s="64">
        <v>11.0</v>
      </c>
      <c r="W26" s="65"/>
      <c r="X26" s="83">
        <f t="shared" si="7"/>
        <v>1.833333333</v>
      </c>
    </row>
    <row r="27" ht="19.5" customHeight="1">
      <c r="A27" s="23">
        <v>21.0</v>
      </c>
      <c r="B27" s="24" t="s">
        <v>60</v>
      </c>
      <c r="C27" s="25" t="s">
        <v>61</v>
      </c>
      <c r="D27" s="64">
        <v>29.0</v>
      </c>
      <c r="E27" s="65"/>
      <c r="F27" s="83">
        <f t="shared" si="1"/>
        <v>3.625</v>
      </c>
      <c r="G27" s="64">
        <v>32.0</v>
      </c>
      <c r="H27" s="65"/>
      <c r="I27" s="83">
        <f t="shared" si="2"/>
        <v>4</v>
      </c>
      <c r="J27" s="64">
        <v>36.0</v>
      </c>
      <c r="K27" s="65"/>
      <c r="L27" s="83">
        <f t="shared" si="3"/>
        <v>4.5</v>
      </c>
      <c r="M27" s="64">
        <v>38.0</v>
      </c>
      <c r="N27" s="65"/>
      <c r="O27" s="83">
        <f t="shared" si="4"/>
        <v>4.75</v>
      </c>
      <c r="P27" s="64">
        <v>18.0</v>
      </c>
      <c r="Q27" s="65"/>
      <c r="R27" s="83">
        <f t="shared" si="5"/>
        <v>2.25</v>
      </c>
      <c r="S27" s="64">
        <v>40.0</v>
      </c>
      <c r="T27" s="65"/>
      <c r="U27" s="83">
        <f t="shared" si="6"/>
        <v>5</v>
      </c>
      <c r="V27" s="64">
        <v>30.0</v>
      </c>
      <c r="W27" s="65"/>
      <c r="X27" s="83">
        <f t="shared" si="7"/>
        <v>5</v>
      </c>
    </row>
    <row r="28" ht="19.5" customHeight="1">
      <c r="A28" s="23">
        <v>22.0</v>
      </c>
      <c r="B28" s="24" t="s">
        <v>62</v>
      </c>
      <c r="C28" s="25" t="s">
        <v>63</v>
      </c>
      <c r="D28" s="64">
        <v>22.0</v>
      </c>
      <c r="E28" s="65"/>
      <c r="F28" s="83">
        <f t="shared" si="1"/>
        <v>2.75</v>
      </c>
      <c r="G28" s="64">
        <v>32.0</v>
      </c>
      <c r="H28" s="65"/>
      <c r="I28" s="83">
        <f t="shared" si="2"/>
        <v>4</v>
      </c>
      <c r="J28" s="64">
        <v>32.0</v>
      </c>
      <c r="K28" s="65"/>
      <c r="L28" s="83">
        <f t="shared" si="3"/>
        <v>4</v>
      </c>
      <c r="M28" s="64">
        <v>32.0</v>
      </c>
      <c r="N28" s="65"/>
      <c r="O28" s="83">
        <f t="shared" si="4"/>
        <v>4</v>
      </c>
      <c r="P28" s="64">
        <v>23.0</v>
      </c>
      <c r="Q28" s="65"/>
      <c r="R28" s="83">
        <f t="shared" si="5"/>
        <v>2.875</v>
      </c>
      <c r="S28" s="64">
        <v>15.0</v>
      </c>
      <c r="T28" s="65"/>
      <c r="U28" s="83">
        <f t="shared" si="6"/>
        <v>1.875</v>
      </c>
      <c r="V28" s="64">
        <v>27.0</v>
      </c>
      <c r="W28" s="65"/>
      <c r="X28" s="83">
        <f t="shared" si="7"/>
        <v>4.5</v>
      </c>
    </row>
    <row r="29" ht="19.5" customHeight="1">
      <c r="A29" s="23">
        <v>23.0</v>
      </c>
      <c r="B29" s="24" t="s">
        <v>64</v>
      </c>
      <c r="C29" s="25" t="s">
        <v>65</v>
      </c>
      <c r="D29" s="64">
        <v>25.0</v>
      </c>
      <c r="E29" s="65"/>
      <c r="F29" s="83">
        <f t="shared" si="1"/>
        <v>3.125</v>
      </c>
      <c r="G29" s="64">
        <v>20.0</v>
      </c>
      <c r="H29" s="65"/>
      <c r="I29" s="83">
        <f t="shared" si="2"/>
        <v>2.5</v>
      </c>
      <c r="J29" s="64">
        <v>6.0</v>
      </c>
      <c r="K29" s="65"/>
      <c r="L29" s="83">
        <f t="shared" si="3"/>
        <v>0.75</v>
      </c>
      <c r="M29" s="64">
        <v>21.0</v>
      </c>
      <c r="N29" s="65"/>
      <c r="O29" s="83">
        <f t="shared" si="4"/>
        <v>2.625</v>
      </c>
      <c r="P29" s="64">
        <v>9.0</v>
      </c>
      <c r="Q29" s="65"/>
      <c r="R29" s="83">
        <f t="shared" si="5"/>
        <v>1.125</v>
      </c>
      <c r="S29" s="64">
        <v>15.0</v>
      </c>
      <c r="T29" s="65"/>
      <c r="U29" s="83">
        <f t="shared" si="6"/>
        <v>1.875</v>
      </c>
      <c r="V29" s="64">
        <v>9.0</v>
      </c>
      <c r="W29" s="65"/>
      <c r="X29" s="83">
        <f t="shared" si="7"/>
        <v>1.5</v>
      </c>
    </row>
    <row r="30" ht="19.5" customHeight="1">
      <c r="A30" s="23">
        <v>24.0</v>
      </c>
      <c r="B30" s="24" t="s">
        <v>66</v>
      </c>
      <c r="C30" s="25" t="s">
        <v>67</v>
      </c>
      <c r="D30" s="64">
        <v>8.0</v>
      </c>
      <c r="E30" s="65"/>
      <c r="F30" s="83">
        <f t="shared" si="1"/>
        <v>1</v>
      </c>
      <c r="G30" s="64">
        <v>6.0</v>
      </c>
      <c r="H30" s="65"/>
      <c r="I30" s="83">
        <f t="shared" si="2"/>
        <v>0.75</v>
      </c>
      <c r="J30" s="64">
        <v>0.0</v>
      </c>
      <c r="K30" s="65"/>
      <c r="L30" s="83">
        <f t="shared" si="3"/>
        <v>0</v>
      </c>
      <c r="M30" s="64">
        <v>21.0</v>
      </c>
      <c r="N30" s="65"/>
      <c r="O30" s="83">
        <f t="shared" si="4"/>
        <v>2.625</v>
      </c>
      <c r="P30" s="64">
        <v>0.0</v>
      </c>
      <c r="Q30" s="65"/>
      <c r="R30" s="83">
        <f t="shared" si="5"/>
        <v>0</v>
      </c>
      <c r="S30" s="64">
        <v>14.0</v>
      </c>
      <c r="T30" s="65"/>
      <c r="U30" s="83">
        <f t="shared" si="6"/>
        <v>1.75</v>
      </c>
      <c r="V30" s="64">
        <v>18.0</v>
      </c>
      <c r="W30" s="65"/>
      <c r="X30" s="83">
        <f t="shared" si="7"/>
        <v>3</v>
      </c>
    </row>
    <row r="31" ht="19.5" customHeight="1">
      <c r="A31" s="23">
        <v>25.0</v>
      </c>
      <c r="B31" s="24" t="s">
        <v>68</v>
      </c>
      <c r="C31" s="25" t="s">
        <v>69</v>
      </c>
      <c r="D31" s="64">
        <v>23.0</v>
      </c>
      <c r="E31" s="65"/>
      <c r="F31" s="83">
        <f t="shared" si="1"/>
        <v>2.875</v>
      </c>
      <c r="G31" s="64">
        <v>27.0</v>
      </c>
      <c r="H31" s="65"/>
      <c r="I31" s="83">
        <f t="shared" si="2"/>
        <v>3.375</v>
      </c>
      <c r="J31" s="64">
        <v>28.0</v>
      </c>
      <c r="K31" s="65"/>
      <c r="L31" s="83">
        <f t="shared" si="3"/>
        <v>3.5</v>
      </c>
      <c r="M31" s="64">
        <v>28.0</v>
      </c>
      <c r="N31" s="65"/>
      <c r="O31" s="83">
        <f t="shared" si="4"/>
        <v>3.5</v>
      </c>
      <c r="P31" s="64">
        <v>11.0</v>
      </c>
      <c r="Q31" s="65"/>
      <c r="R31" s="83">
        <f t="shared" si="5"/>
        <v>1.375</v>
      </c>
      <c r="S31" s="64">
        <v>17.0</v>
      </c>
      <c r="T31" s="65"/>
      <c r="U31" s="83">
        <f t="shared" si="6"/>
        <v>2.125</v>
      </c>
      <c r="V31" s="64">
        <v>19.0</v>
      </c>
      <c r="W31" s="65"/>
      <c r="X31" s="83">
        <f t="shared" si="7"/>
        <v>3.166666667</v>
      </c>
    </row>
    <row r="32" ht="19.5" customHeight="1">
      <c r="A32" s="23">
        <v>26.0</v>
      </c>
      <c r="B32" s="24" t="s">
        <v>70</v>
      </c>
      <c r="C32" s="25" t="s">
        <v>71</v>
      </c>
      <c r="D32" s="64">
        <v>27.0</v>
      </c>
      <c r="E32" s="65"/>
      <c r="F32" s="83">
        <f t="shared" si="1"/>
        <v>3.375</v>
      </c>
      <c r="G32" s="64">
        <v>31.0</v>
      </c>
      <c r="H32" s="65"/>
      <c r="I32" s="83">
        <f t="shared" si="2"/>
        <v>3.875</v>
      </c>
      <c r="J32" s="64">
        <v>38.0</v>
      </c>
      <c r="K32" s="65"/>
      <c r="L32" s="83">
        <f t="shared" si="3"/>
        <v>4.75</v>
      </c>
      <c r="M32" s="64">
        <v>36.0</v>
      </c>
      <c r="N32" s="65"/>
      <c r="O32" s="83">
        <f t="shared" si="4"/>
        <v>4.5</v>
      </c>
      <c r="P32" s="64">
        <v>21.0</v>
      </c>
      <c r="Q32" s="65"/>
      <c r="R32" s="83">
        <f t="shared" si="5"/>
        <v>2.625</v>
      </c>
      <c r="S32" s="64">
        <v>30.0</v>
      </c>
      <c r="T32" s="65"/>
      <c r="U32" s="83">
        <f t="shared" si="6"/>
        <v>3.75</v>
      </c>
      <c r="V32" s="64">
        <v>28.0</v>
      </c>
      <c r="W32" s="65"/>
      <c r="X32" s="83">
        <f t="shared" si="7"/>
        <v>4.666666667</v>
      </c>
    </row>
    <row r="33" ht="19.5" customHeight="1">
      <c r="A33" s="23">
        <v>27.0</v>
      </c>
      <c r="B33" s="24" t="s">
        <v>72</v>
      </c>
      <c r="C33" s="25" t="s">
        <v>73</v>
      </c>
      <c r="D33" s="64">
        <v>6.0</v>
      </c>
      <c r="E33" s="65"/>
      <c r="F33" s="83">
        <f t="shared" si="1"/>
        <v>0.75</v>
      </c>
      <c r="G33" s="64">
        <v>15.0</v>
      </c>
      <c r="H33" s="65"/>
      <c r="I33" s="83">
        <f t="shared" si="2"/>
        <v>1.875</v>
      </c>
      <c r="J33" s="64">
        <v>20.0</v>
      </c>
      <c r="K33" s="65"/>
      <c r="L33" s="83">
        <f t="shared" si="3"/>
        <v>2.5</v>
      </c>
      <c r="M33" s="64">
        <v>6.0</v>
      </c>
      <c r="N33" s="65"/>
      <c r="O33" s="83">
        <f t="shared" si="4"/>
        <v>0.75</v>
      </c>
      <c r="P33" s="64">
        <v>2.0</v>
      </c>
      <c r="Q33" s="65"/>
      <c r="R33" s="83">
        <f t="shared" si="5"/>
        <v>0.25</v>
      </c>
      <c r="S33" s="64">
        <v>19.0</v>
      </c>
      <c r="T33" s="65"/>
      <c r="U33" s="83">
        <f t="shared" si="6"/>
        <v>2.375</v>
      </c>
      <c r="V33" s="64">
        <v>11.0</v>
      </c>
      <c r="W33" s="65"/>
      <c r="X33" s="83">
        <f t="shared" si="7"/>
        <v>1.833333333</v>
      </c>
    </row>
    <row r="34" ht="19.5" customHeight="1">
      <c r="A34" s="23">
        <v>28.0</v>
      </c>
      <c r="B34" s="24" t="s">
        <v>74</v>
      </c>
      <c r="C34" s="25" t="s">
        <v>75</v>
      </c>
      <c r="D34" s="64">
        <v>23.0</v>
      </c>
      <c r="E34" s="65"/>
      <c r="F34" s="83">
        <f t="shared" si="1"/>
        <v>2.875</v>
      </c>
      <c r="G34" s="64">
        <v>27.0</v>
      </c>
      <c r="H34" s="65"/>
      <c r="I34" s="83">
        <f t="shared" si="2"/>
        <v>3.375</v>
      </c>
      <c r="J34" s="64">
        <v>36.0</v>
      </c>
      <c r="K34" s="65"/>
      <c r="L34" s="83">
        <f t="shared" si="3"/>
        <v>4.5</v>
      </c>
      <c r="M34" s="64">
        <v>40.0</v>
      </c>
      <c r="N34" s="65"/>
      <c r="O34" s="83">
        <f t="shared" si="4"/>
        <v>5</v>
      </c>
      <c r="P34" s="64">
        <v>20.0</v>
      </c>
      <c r="Q34" s="65"/>
      <c r="R34" s="83">
        <f t="shared" si="5"/>
        <v>2.5</v>
      </c>
      <c r="S34" s="64">
        <v>30.0</v>
      </c>
      <c r="T34" s="65"/>
      <c r="U34" s="83">
        <f t="shared" si="6"/>
        <v>3.75</v>
      </c>
      <c r="V34" s="64">
        <v>30.0</v>
      </c>
      <c r="W34" s="65"/>
      <c r="X34" s="83">
        <f t="shared" si="7"/>
        <v>5</v>
      </c>
    </row>
    <row r="35" ht="19.5" customHeight="1">
      <c r="A35" s="23">
        <v>29.0</v>
      </c>
      <c r="B35" s="24" t="s">
        <v>76</v>
      </c>
      <c r="C35" s="25" t="s">
        <v>77</v>
      </c>
      <c r="D35" s="64">
        <v>22.0</v>
      </c>
      <c r="E35" s="65"/>
      <c r="F35" s="83">
        <f t="shared" si="1"/>
        <v>2.75</v>
      </c>
      <c r="G35" s="64">
        <v>22.0</v>
      </c>
      <c r="H35" s="65"/>
      <c r="I35" s="83">
        <f t="shared" si="2"/>
        <v>2.75</v>
      </c>
      <c r="J35" s="64">
        <v>33.0</v>
      </c>
      <c r="K35" s="65"/>
      <c r="L35" s="83">
        <f t="shared" si="3"/>
        <v>4.125</v>
      </c>
      <c r="M35" s="64">
        <v>24.0</v>
      </c>
      <c r="N35" s="65"/>
      <c r="O35" s="83">
        <f t="shared" si="4"/>
        <v>3</v>
      </c>
      <c r="P35" s="64">
        <v>13.0</v>
      </c>
      <c r="Q35" s="65"/>
      <c r="R35" s="83">
        <f t="shared" si="5"/>
        <v>1.625</v>
      </c>
      <c r="S35" s="64">
        <v>13.0</v>
      </c>
      <c r="T35" s="65"/>
      <c r="U35" s="83">
        <f t="shared" si="6"/>
        <v>1.625</v>
      </c>
      <c r="V35" s="64">
        <v>20.0</v>
      </c>
      <c r="W35" s="65"/>
      <c r="X35" s="83">
        <f t="shared" si="7"/>
        <v>3.333333333</v>
      </c>
    </row>
    <row r="36" ht="19.5" customHeight="1">
      <c r="A36" s="23">
        <v>30.0</v>
      </c>
      <c r="B36" s="24" t="s">
        <v>78</v>
      </c>
      <c r="C36" s="25" t="s">
        <v>79</v>
      </c>
      <c r="D36" s="64">
        <v>16.0</v>
      </c>
      <c r="E36" s="65"/>
      <c r="F36" s="83">
        <f t="shared" si="1"/>
        <v>2</v>
      </c>
      <c r="G36" s="64">
        <v>20.0</v>
      </c>
      <c r="H36" s="65"/>
      <c r="I36" s="83">
        <f t="shared" si="2"/>
        <v>2.5</v>
      </c>
      <c r="J36" s="64">
        <v>30.0</v>
      </c>
      <c r="K36" s="65"/>
      <c r="L36" s="83">
        <f t="shared" si="3"/>
        <v>3.75</v>
      </c>
      <c r="M36" s="64">
        <v>16.0</v>
      </c>
      <c r="N36" s="65"/>
      <c r="O36" s="83">
        <f t="shared" si="4"/>
        <v>2</v>
      </c>
      <c r="P36" s="64">
        <v>3.0</v>
      </c>
      <c r="Q36" s="65"/>
      <c r="R36" s="83">
        <f t="shared" si="5"/>
        <v>0.375</v>
      </c>
      <c r="S36" s="64">
        <v>17.0</v>
      </c>
      <c r="T36" s="65"/>
      <c r="U36" s="83">
        <f t="shared" si="6"/>
        <v>2.125</v>
      </c>
      <c r="V36" s="64">
        <v>15.0</v>
      </c>
      <c r="W36" s="65"/>
      <c r="X36" s="83">
        <f t="shared" si="7"/>
        <v>2.5</v>
      </c>
    </row>
    <row r="37" ht="19.5" customHeight="1">
      <c r="A37" s="23">
        <v>31.0</v>
      </c>
      <c r="B37" s="24" t="s">
        <v>80</v>
      </c>
      <c r="C37" s="25" t="s">
        <v>81</v>
      </c>
      <c r="D37" s="64">
        <v>10.0</v>
      </c>
      <c r="E37" s="65"/>
      <c r="F37" s="83">
        <f t="shared" si="1"/>
        <v>1.25</v>
      </c>
      <c r="G37" s="64">
        <v>16.0</v>
      </c>
      <c r="H37" s="65"/>
      <c r="I37" s="83">
        <f t="shared" si="2"/>
        <v>2</v>
      </c>
      <c r="J37" s="64">
        <v>26.0</v>
      </c>
      <c r="K37" s="65"/>
      <c r="L37" s="83">
        <f t="shared" si="3"/>
        <v>3.25</v>
      </c>
      <c r="M37" s="64">
        <v>14.0</v>
      </c>
      <c r="N37" s="65"/>
      <c r="O37" s="83">
        <f t="shared" si="4"/>
        <v>1.75</v>
      </c>
      <c r="P37" s="64">
        <v>8.0</v>
      </c>
      <c r="Q37" s="65"/>
      <c r="R37" s="83">
        <f t="shared" si="5"/>
        <v>1</v>
      </c>
      <c r="S37" s="64">
        <v>20.0</v>
      </c>
      <c r="T37" s="65"/>
      <c r="U37" s="83">
        <f t="shared" si="6"/>
        <v>2.5</v>
      </c>
      <c r="V37" s="64">
        <v>9.0</v>
      </c>
      <c r="W37" s="65"/>
      <c r="X37" s="83">
        <f t="shared" si="7"/>
        <v>1.5</v>
      </c>
    </row>
    <row r="38" ht="19.5" customHeight="1">
      <c r="A38" s="23">
        <v>32.0</v>
      </c>
      <c r="B38" s="24" t="s">
        <v>82</v>
      </c>
      <c r="C38" s="25" t="s">
        <v>83</v>
      </c>
      <c r="D38" s="64">
        <v>9.0</v>
      </c>
      <c r="E38" s="65"/>
      <c r="F38" s="83">
        <f t="shared" si="1"/>
        <v>1.125</v>
      </c>
      <c r="G38" s="64">
        <v>21.0</v>
      </c>
      <c r="H38" s="65"/>
      <c r="I38" s="83">
        <f t="shared" si="2"/>
        <v>2.625</v>
      </c>
      <c r="J38" s="64">
        <v>30.0</v>
      </c>
      <c r="K38" s="65"/>
      <c r="L38" s="83">
        <f t="shared" si="3"/>
        <v>3.75</v>
      </c>
      <c r="M38" s="64">
        <v>14.0</v>
      </c>
      <c r="N38" s="65"/>
      <c r="O38" s="83">
        <f t="shared" si="4"/>
        <v>1.75</v>
      </c>
      <c r="P38" s="64">
        <v>4.0</v>
      </c>
      <c r="Q38" s="65"/>
      <c r="R38" s="83">
        <f t="shared" si="5"/>
        <v>0.5</v>
      </c>
      <c r="S38" s="64">
        <v>12.0</v>
      </c>
      <c r="T38" s="65"/>
      <c r="U38" s="83">
        <f t="shared" si="6"/>
        <v>1.5</v>
      </c>
      <c r="V38" s="64">
        <v>15.0</v>
      </c>
      <c r="W38" s="65"/>
      <c r="X38" s="83">
        <f t="shared" si="7"/>
        <v>2.5</v>
      </c>
    </row>
    <row r="39" ht="19.5" customHeight="1">
      <c r="A39" s="23">
        <v>33.0</v>
      </c>
      <c r="B39" s="24" t="s">
        <v>84</v>
      </c>
      <c r="C39" s="25" t="s">
        <v>85</v>
      </c>
      <c r="D39" s="64">
        <v>30.0</v>
      </c>
      <c r="E39" s="65"/>
      <c r="F39" s="83">
        <f t="shared" si="1"/>
        <v>3.75</v>
      </c>
      <c r="G39" s="64">
        <v>30.0</v>
      </c>
      <c r="H39" s="65"/>
      <c r="I39" s="83">
        <f t="shared" si="2"/>
        <v>3.75</v>
      </c>
      <c r="J39" s="64">
        <v>28.0</v>
      </c>
      <c r="K39" s="65"/>
      <c r="L39" s="83">
        <f t="shared" si="3"/>
        <v>3.5</v>
      </c>
      <c r="M39" s="64">
        <v>35.0</v>
      </c>
      <c r="N39" s="65"/>
      <c r="O39" s="83">
        <f t="shared" si="4"/>
        <v>4.375</v>
      </c>
      <c r="P39" s="64">
        <v>26.0</v>
      </c>
      <c r="Q39" s="65"/>
      <c r="R39" s="83">
        <f t="shared" si="5"/>
        <v>3.25</v>
      </c>
      <c r="S39" s="64">
        <v>10.0</v>
      </c>
      <c r="T39" s="65"/>
      <c r="U39" s="83">
        <f t="shared" si="6"/>
        <v>1.25</v>
      </c>
      <c r="V39" s="64">
        <v>22.0</v>
      </c>
      <c r="W39" s="65"/>
      <c r="X39" s="83">
        <f t="shared" si="7"/>
        <v>3.666666667</v>
      </c>
    </row>
    <row r="40" ht="19.5" customHeight="1">
      <c r="A40" s="23">
        <v>34.0</v>
      </c>
      <c r="B40" s="24" t="s">
        <v>86</v>
      </c>
      <c r="C40" s="25" t="s">
        <v>87</v>
      </c>
      <c r="D40" s="64">
        <v>38.0</v>
      </c>
      <c r="E40" s="65"/>
      <c r="F40" s="83">
        <f t="shared" si="1"/>
        <v>4.75</v>
      </c>
      <c r="G40" s="64">
        <v>35.0</v>
      </c>
      <c r="H40" s="65"/>
      <c r="I40" s="83">
        <f t="shared" si="2"/>
        <v>4.375</v>
      </c>
      <c r="J40" s="64">
        <v>36.0</v>
      </c>
      <c r="K40" s="65"/>
      <c r="L40" s="83">
        <f t="shared" si="3"/>
        <v>4.5</v>
      </c>
      <c r="M40" s="64">
        <v>36.0</v>
      </c>
      <c r="N40" s="65"/>
      <c r="O40" s="83">
        <f t="shared" si="4"/>
        <v>4.5</v>
      </c>
      <c r="P40" s="64">
        <v>22.0</v>
      </c>
      <c r="Q40" s="65"/>
      <c r="R40" s="83">
        <f t="shared" si="5"/>
        <v>2.75</v>
      </c>
      <c r="S40" s="64">
        <v>26.0</v>
      </c>
      <c r="T40" s="65"/>
      <c r="U40" s="83">
        <f t="shared" si="6"/>
        <v>3.25</v>
      </c>
      <c r="V40" s="64">
        <v>30.0</v>
      </c>
      <c r="W40" s="65"/>
      <c r="X40" s="83">
        <f t="shared" si="7"/>
        <v>5</v>
      </c>
    </row>
    <row r="41" ht="19.5" customHeight="1">
      <c r="A41" s="23">
        <v>35.0</v>
      </c>
      <c r="B41" s="24" t="s">
        <v>88</v>
      </c>
      <c r="C41" s="25" t="s">
        <v>89</v>
      </c>
      <c r="D41" s="64">
        <v>13.0</v>
      </c>
      <c r="E41" s="65"/>
      <c r="F41" s="83">
        <f t="shared" si="1"/>
        <v>1.625</v>
      </c>
      <c r="G41" s="64">
        <v>33.0</v>
      </c>
      <c r="H41" s="65"/>
      <c r="I41" s="83">
        <f t="shared" si="2"/>
        <v>4.125</v>
      </c>
      <c r="J41" s="64">
        <v>33.0</v>
      </c>
      <c r="K41" s="65"/>
      <c r="L41" s="83">
        <f t="shared" si="3"/>
        <v>4.125</v>
      </c>
      <c r="M41" s="64">
        <v>14.0</v>
      </c>
      <c r="N41" s="65"/>
      <c r="O41" s="83">
        <f t="shared" si="4"/>
        <v>1.75</v>
      </c>
      <c r="P41" s="64">
        <v>22.0</v>
      </c>
      <c r="Q41" s="65"/>
      <c r="R41" s="83">
        <f t="shared" si="5"/>
        <v>2.75</v>
      </c>
      <c r="S41" s="64">
        <v>38.0</v>
      </c>
      <c r="T41" s="65"/>
      <c r="U41" s="83">
        <f t="shared" si="6"/>
        <v>4.75</v>
      </c>
      <c r="V41" s="64">
        <v>30.0</v>
      </c>
      <c r="W41" s="65"/>
      <c r="X41" s="83">
        <f t="shared" si="7"/>
        <v>5</v>
      </c>
    </row>
    <row r="42" ht="19.5" customHeight="1">
      <c r="A42" s="23">
        <v>36.0</v>
      </c>
      <c r="B42" s="24" t="s">
        <v>90</v>
      </c>
      <c r="C42" s="25" t="s">
        <v>91</v>
      </c>
      <c r="D42" s="64">
        <v>11.0</v>
      </c>
      <c r="E42" s="65"/>
      <c r="F42" s="83">
        <f t="shared" si="1"/>
        <v>1.375</v>
      </c>
      <c r="G42" s="64">
        <v>20.0</v>
      </c>
      <c r="H42" s="65"/>
      <c r="I42" s="83">
        <f t="shared" si="2"/>
        <v>2.5</v>
      </c>
      <c r="J42" s="64">
        <v>8.0</v>
      </c>
      <c r="K42" s="65"/>
      <c r="L42" s="83">
        <f t="shared" si="3"/>
        <v>1</v>
      </c>
      <c r="M42" s="64">
        <v>19.0</v>
      </c>
      <c r="N42" s="65"/>
      <c r="O42" s="83">
        <f t="shared" si="4"/>
        <v>2.375</v>
      </c>
      <c r="P42" s="64">
        <v>6.0</v>
      </c>
      <c r="Q42" s="65"/>
      <c r="R42" s="83">
        <f t="shared" si="5"/>
        <v>0.75</v>
      </c>
      <c r="S42" s="64">
        <v>11.0</v>
      </c>
      <c r="T42" s="65"/>
      <c r="U42" s="83">
        <f t="shared" si="6"/>
        <v>1.375</v>
      </c>
      <c r="V42" s="64">
        <v>30.0</v>
      </c>
      <c r="W42" s="65"/>
      <c r="X42" s="83">
        <f t="shared" si="7"/>
        <v>5</v>
      </c>
    </row>
    <row r="43" ht="19.5" customHeight="1">
      <c r="A43" s="23">
        <v>37.0</v>
      </c>
      <c r="B43" s="24" t="s">
        <v>92</v>
      </c>
      <c r="C43" s="25" t="s">
        <v>93</v>
      </c>
      <c r="D43" s="64">
        <v>13.0</v>
      </c>
      <c r="E43" s="65"/>
      <c r="F43" s="83">
        <f t="shared" si="1"/>
        <v>1.625</v>
      </c>
      <c r="G43" s="64">
        <v>25.0</v>
      </c>
      <c r="H43" s="65"/>
      <c r="I43" s="83">
        <f t="shared" si="2"/>
        <v>3.125</v>
      </c>
      <c r="J43" s="64">
        <v>30.0</v>
      </c>
      <c r="K43" s="65"/>
      <c r="L43" s="83">
        <f t="shared" si="3"/>
        <v>3.75</v>
      </c>
      <c r="M43" s="64">
        <v>28.0</v>
      </c>
      <c r="N43" s="65"/>
      <c r="O43" s="83">
        <f t="shared" si="4"/>
        <v>3.5</v>
      </c>
      <c r="P43" s="64">
        <v>11.0</v>
      </c>
      <c r="Q43" s="65"/>
      <c r="R43" s="83">
        <f t="shared" si="5"/>
        <v>1.375</v>
      </c>
      <c r="S43" s="64">
        <v>15.0</v>
      </c>
      <c r="T43" s="65"/>
      <c r="U43" s="83">
        <f t="shared" si="6"/>
        <v>1.875</v>
      </c>
      <c r="V43" s="64">
        <v>18.0</v>
      </c>
      <c r="W43" s="65"/>
      <c r="X43" s="83">
        <f t="shared" si="7"/>
        <v>3</v>
      </c>
    </row>
    <row r="44" ht="19.5" customHeight="1">
      <c r="A44" s="23">
        <v>38.0</v>
      </c>
      <c r="B44" s="24" t="s">
        <v>94</v>
      </c>
      <c r="C44" s="30" t="s">
        <v>95</v>
      </c>
      <c r="D44" s="64">
        <v>37.0</v>
      </c>
      <c r="E44" s="65"/>
      <c r="F44" s="83">
        <f t="shared" si="1"/>
        <v>4.625</v>
      </c>
      <c r="G44" s="64">
        <v>28.0</v>
      </c>
      <c r="H44" s="65"/>
      <c r="I44" s="83">
        <f t="shared" si="2"/>
        <v>3.5</v>
      </c>
      <c r="J44" s="64">
        <v>0.0</v>
      </c>
      <c r="K44" s="65"/>
      <c r="L44" s="83">
        <f t="shared" si="3"/>
        <v>0</v>
      </c>
      <c r="M44" s="64">
        <v>2.0</v>
      </c>
      <c r="N44" s="65"/>
      <c r="O44" s="83">
        <f t="shared" si="4"/>
        <v>0.25</v>
      </c>
      <c r="P44" s="64">
        <v>16.0</v>
      </c>
      <c r="Q44" s="65"/>
      <c r="R44" s="83">
        <f t="shared" si="5"/>
        <v>2</v>
      </c>
      <c r="S44" s="64">
        <v>0.0</v>
      </c>
      <c r="T44" s="65"/>
      <c r="U44" s="83">
        <f t="shared" si="6"/>
        <v>0</v>
      </c>
      <c r="V44" s="64">
        <v>15.0</v>
      </c>
      <c r="W44" s="65"/>
      <c r="X44" s="83">
        <f t="shared" si="7"/>
        <v>2.5</v>
      </c>
    </row>
    <row r="45" ht="19.5" customHeight="1">
      <c r="A45" s="23">
        <v>39.0</v>
      </c>
      <c r="B45" s="24" t="s">
        <v>96</v>
      </c>
      <c r="C45" s="30" t="s">
        <v>97</v>
      </c>
      <c r="D45" s="64">
        <v>30.0</v>
      </c>
      <c r="E45" s="65"/>
      <c r="F45" s="83">
        <f t="shared" si="1"/>
        <v>3.75</v>
      </c>
      <c r="G45" s="64">
        <v>29.0</v>
      </c>
      <c r="H45" s="65"/>
      <c r="I45" s="83">
        <f t="shared" si="2"/>
        <v>3.625</v>
      </c>
      <c r="J45" s="64">
        <v>21.0</v>
      </c>
      <c r="K45" s="65"/>
      <c r="L45" s="83">
        <f t="shared" si="3"/>
        <v>2.625</v>
      </c>
      <c r="M45" s="64">
        <v>20.0</v>
      </c>
      <c r="N45" s="65"/>
      <c r="O45" s="83">
        <f t="shared" si="4"/>
        <v>2.5</v>
      </c>
      <c r="P45" s="64">
        <v>19.0</v>
      </c>
      <c r="Q45" s="65"/>
      <c r="R45" s="83">
        <f t="shared" si="5"/>
        <v>2.375</v>
      </c>
      <c r="S45" s="64">
        <v>24.0</v>
      </c>
      <c r="T45" s="65"/>
      <c r="U45" s="83">
        <f t="shared" si="6"/>
        <v>3</v>
      </c>
      <c r="V45" s="64">
        <v>23.0</v>
      </c>
      <c r="W45" s="65"/>
      <c r="X45" s="83">
        <f t="shared" si="7"/>
        <v>3.833333333</v>
      </c>
    </row>
    <row r="46" ht="19.5" customHeight="1">
      <c r="A46" s="23">
        <v>40.0</v>
      </c>
      <c r="B46" s="24" t="s">
        <v>98</v>
      </c>
      <c r="C46" s="30" t="s">
        <v>99</v>
      </c>
      <c r="D46" s="64">
        <v>28.0</v>
      </c>
      <c r="E46" s="65"/>
      <c r="F46" s="83">
        <f t="shared" si="1"/>
        <v>3.5</v>
      </c>
      <c r="G46" s="64">
        <v>35.0</v>
      </c>
      <c r="H46" s="65"/>
      <c r="I46" s="83">
        <f t="shared" si="2"/>
        <v>4.375</v>
      </c>
      <c r="J46" s="64">
        <v>29.0</v>
      </c>
      <c r="K46" s="65"/>
      <c r="L46" s="83">
        <f t="shared" si="3"/>
        <v>3.625</v>
      </c>
      <c r="M46" s="64">
        <v>40.0</v>
      </c>
      <c r="N46" s="65"/>
      <c r="O46" s="83">
        <f t="shared" si="4"/>
        <v>5</v>
      </c>
      <c r="P46" s="64">
        <v>27.0</v>
      </c>
      <c r="Q46" s="65"/>
      <c r="R46" s="83">
        <f t="shared" si="5"/>
        <v>3.375</v>
      </c>
      <c r="S46" s="64">
        <v>12.0</v>
      </c>
      <c r="T46" s="65"/>
      <c r="U46" s="83">
        <f t="shared" si="6"/>
        <v>1.5</v>
      </c>
      <c r="V46" s="64">
        <v>26.0</v>
      </c>
      <c r="W46" s="65"/>
      <c r="X46" s="83">
        <f t="shared" si="7"/>
        <v>4.333333333</v>
      </c>
    </row>
    <row r="47" ht="19.5" customHeight="1">
      <c r="A47" s="23">
        <v>41.0</v>
      </c>
      <c r="B47" s="24" t="s">
        <v>100</v>
      </c>
      <c r="C47" s="30" t="s">
        <v>101</v>
      </c>
      <c r="D47" s="64">
        <v>39.0</v>
      </c>
      <c r="E47" s="65"/>
      <c r="F47" s="83">
        <f t="shared" si="1"/>
        <v>4.875</v>
      </c>
      <c r="G47" s="64">
        <v>28.0</v>
      </c>
      <c r="H47" s="65"/>
      <c r="I47" s="83">
        <f t="shared" si="2"/>
        <v>3.5</v>
      </c>
      <c r="J47" s="64">
        <v>16.0</v>
      </c>
      <c r="K47" s="65"/>
      <c r="L47" s="83">
        <f t="shared" si="3"/>
        <v>2</v>
      </c>
      <c r="M47" s="64">
        <v>19.0</v>
      </c>
      <c r="N47" s="65"/>
      <c r="O47" s="83">
        <f t="shared" si="4"/>
        <v>2.375</v>
      </c>
      <c r="P47" s="64">
        <v>19.0</v>
      </c>
      <c r="Q47" s="65"/>
      <c r="R47" s="83">
        <f t="shared" si="5"/>
        <v>2.375</v>
      </c>
      <c r="S47" s="64">
        <v>26.0</v>
      </c>
      <c r="T47" s="65"/>
      <c r="U47" s="83">
        <f t="shared" si="6"/>
        <v>3.25</v>
      </c>
      <c r="V47" s="64">
        <v>20.0</v>
      </c>
      <c r="W47" s="65"/>
      <c r="X47" s="83">
        <f t="shared" si="7"/>
        <v>3.333333333</v>
      </c>
    </row>
    <row r="48" ht="19.5" customHeight="1">
      <c r="A48" s="23">
        <v>42.0</v>
      </c>
      <c r="B48" s="24" t="s">
        <v>102</v>
      </c>
      <c r="C48" s="30" t="s">
        <v>103</v>
      </c>
      <c r="D48" s="64">
        <v>28.0</v>
      </c>
      <c r="E48" s="65"/>
      <c r="F48" s="83">
        <f t="shared" si="1"/>
        <v>3.5</v>
      </c>
      <c r="G48" s="64">
        <v>24.0</v>
      </c>
      <c r="H48" s="65"/>
      <c r="I48" s="83">
        <f t="shared" si="2"/>
        <v>3</v>
      </c>
      <c r="J48" s="64">
        <v>16.0</v>
      </c>
      <c r="K48" s="65"/>
      <c r="L48" s="83">
        <f t="shared" si="3"/>
        <v>2</v>
      </c>
      <c r="M48" s="64">
        <v>24.0</v>
      </c>
      <c r="N48" s="65"/>
      <c r="O48" s="83">
        <f t="shared" si="4"/>
        <v>3</v>
      </c>
      <c r="P48" s="64">
        <v>11.0</v>
      </c>
      <c r="Q48" s="65"/>
      <c r="R48" s="83">
        <f t="shared" si="5"/>
        <v>1.375</v>
      </c>
      <c r="S48" s="64">
        <v>2.0</v>
      </c>
      <c r="T48" s="65"/>
      <c r="U48" s="83">
        <f t="shared" si="6"/>
        <v>0.25</v>
      </c>
      <c r="V48" s="64">
        <v>3.0</v>
      </c>
      <c r="W48" s="65"/>
      <c r="X48" s="83">
        <f t="shared" si="7"/>
        <v>0.5</v>
      </c>
    </row>
    <row r="49" ht="19.5" customHeight="1">
      <c r="A49" s="23">
        <v>43.0</v>
      </c>
      <c r="B49" s="24" t="s">
        <v>104</v>
      </c>
      <c r="C49" s="30" t="s">
        <v>105</v>
      </c>
      <c r="D49" s="64">
        <v>38.0</v>
      </c>
      <c r="E49" s="65"/>
      <c r="F49" s="83">
        <f t="shared" si="1"/>
        <v>4.75</v>
      </c>
      <c r="G49" s="64">
        <v>32.0</v>
      </c>
      <c r="H49" s="65"/>
      <c r="I49" s="83">
        <f t="shared" si="2"/>
        <v>4</v>
      </c>
      <c r="J49" s="64">
        <v>15.0</v>
      </c>
      <c r="K49" s="65"/>
      <c r="L49" s="83">
        <f t="shared" si="3"/>
        <v>1.875</v>
      </c>
      <c r="M49" s="64">
        <v>23.0</v>
      </c>
      <c r="N49" s="65"/>
      <c r="O49" s="83">
        <f t="shared" si="4"/>
        <v>2.875</v>
      </c>
      <c r="P49" s="64">
        <v>12.0</v>
      </c>
      <c r="Q49" s="65"/>
      <c r="R49" s="83">
        <f t="shared" si="5"/>
        <v>1.5</v>
      </c>
      <c r="S49" s="64">
        <v>40.0</v>
      </c>
      <c r="T49" s="65"/>
      <c r="U49" s="83">
        <f t="shared" si="6"/>
        <v>5</v>
      </c>
      <c r="V49" s="64">
        <v>14.0</v>
      </c>
      <c r="W49" s="65"/>
      <c r="X49" s="83">
        <f t="shared" si="7"/>
        <v>2.333333333</v>
      </c>
    </row>
    <row r="50" ht="19.5" customHeight="1">
      <c r="A50" s="23">
        <v>44.0</v>
      </c>
      <c r="B50" s="24" t="s">
        <v>106</v>
      </c>
      <c r="C50" s="25" t="s">
        <v>132</v>
      </c>
      <c r="D50" s="64">
        <v>39.0</v>
      </c>
      <c r="E50" s="65"/>
      <c r="F50" s="83">
        <f t="shared" si="1"/>
        <v>4.875</v>
      </c>
      <c r="G50" s="64">
        <v>27.0</v>
      </c>
      <c r="H50" s="65"/>
      <c r="I50" s="83">
        <f t="shared" si="2"/>
        <v>3.375</v>
      </c>
      <c r="J50" s="64">
        <v>28.0</v>
      </c>
      <c r="K50" s="65"/>
      <c r="L50" s="83">
        <f t="shared" si="3"/>
        <v>3.5</v>
      </c>
      <c r="M50" s="64">
        <v>25.0</v>
      </c>
      <c r="N50" s="65"/>
      <c r="O50" s="83">
        <f t="shared" si="4"/>
        <v>3.125</v>
      </c>
      <c r="P50" s="64">
        <v>18.0</v>
      </c>
      <c r="Q50" s="65"/>
      <c r="R50" s="83">
        <f t="shared" si="5"/>
        <v>2.25</v>
      </c>
      <c r="S50" s="64">
        <v>8.0</v>
      </c>
      <c r="T50" s="65"/>
      <c r="U50" s="83">
        <f t="shared" si="6"/>
        <v>1</v>
      </c>
      <c r="V50" s="64">
        <v>4.0</v>
      </c>
      <c r="W50" s="65"/>
      <c r="X50" s="83">
        <f t="shared" si="7"/>
        <v>0.6666666667</v>
      </c>
    </row>
    <row r="51" ht="19.5" customHeight="1">
      <c r="A51" s="23">
        <v>45.0</v>
      </c>
      <c r="B51" s="24" t="s">
        <v>108</v>
      </c>
      <c r="C51" s="30" t="s">
        <v>109</v>
      </c>
      <c r="D51" s="64">
        <v>40.0</v>
      </c>
      <c r="E51" s="65"/>
      <c r="F51" s="83">
        <f t="shared" si="1"/>
        <v>5</v>
      </c>
      <c r="G51" s="64">
        <v>34.0</v>
      </c>
      <c r="H51" s="65"/>
      <c r="I51" s="83">
        <f t="shared" si="2"/>
        <v>4.25</v>
      </c>
      <c r="J51" s="64">
        <v>29.0</v>
      </c>
      <c r="K51" s="65"/>
      <c r="L51" s="83">
        <f t="shared" si="3"/>
        <v>3.625</v>
      </c>
      <c r="M51" s="64">
        <v>35.0</v>
      </c>
      <c r="N51" s="65"/>
      <c r="O51" s="83">
        <f t="shared" si="4"/>
        <v>4.375</v>
      </c>
      <c r="P51" s="64">
        <v>18.0</v>
      </c>
      <c r="Q51" s="65"/>
      <c r="R51" s="83">
        <f t="shared" si="5"/>
        <v>2.25</v>
      </c>
      <c r="S51" s="64">
        <v>12.0</v>
      </c>
      <c r="T51" s="65"/>
      <c r="U51" s="83">
        <f t="shared" si="6"/>
        <v>1.5</v>
      </c>
      <c r="V51" s="64">
        <v>29.0</v>
      </c>
      <c r="W51" s="65"/>
      <c r="X51" s="83">
        <f t="shared" si="7"/>
        <v>4.833333333</v>
      </c>
    </row>
    <row r="52" ht="19.5" customHeight="1">
      <c r="A52" s="23">
        <v>46.0</v>
      </c>
      <c r="B52" s="24" t="s">
        <v>110</v>
      </c>
      <c r="C52" s="30" t="s">
        <v>149</v>
      </c>
      <c r="D52" s="64">
        <v>40.0</v>
      </c>
      <c r="E52" s="65"/>
      <c r="F52" s="83">
        <f t="shared" si="1"/>
        <v>5</v>
      </c>
      <c r="G52" s="64">
        <v>35.0</v>
      </c>
      <c r="H52" s="65"/>
      <c r="I52" s="83">
        <f t="shared" si="2"/>
        <v>4.375</v>
      </c>
      <c r="J52" s="64">
        <v>38.0</v>
      </c>
      <c r="K52" s="65"/>
      <c r="L52" s="83">
        <f t="shared" si="3"/>
        <v>4.75</v>
      </c>
      <c r="M52" s="64">
        <v>31.0</v>
      </c>
      <c r="N52" s="65"/>
      <c r="O52" s="83">
        <f t="shared" si="4"/>
        <v>3.875</v>
      </c>
      <c r="P52" s="64">
        <v>28.0</v>
      </c>
      <c r="Q52" s="65"/>
      <c r="R52" s="83">
        <f t="shared" si="5"/>
        <v>3.5</v>
      </c>
      <c r="S52" s="64">
        <v>34.0</v>
      </c>
      <c r="T52" s="65"/>
      <c r="U52" s="83">
        <f t="shared" si="6"/>
        <v>4.25</v>
      </c>
      <c r="V52" s="64">
        <v>26.0</v>
      </c>
      <c r="W52" s="65"/>
      <c r="X52" s="83">
        <f t="shared" si="7"/>
        <v>4.333333333</v>
      </c>
    </row>
    <row r="53" ht="19.5" customHeight="1">
      <c r="A53" s="23">
        <v>47.0</v>
      </c>
      <c r="B53" s="24" t="s">
        <v>112</v>
      </c>
      <c r="C53" s="30" t="s">
        <v>150</v>
      </c>
      <c r="D53" s="64">
        <v>40.0</v>
      </c>
      <c r="E53" s="65"/>
      <c r="F53" s="83">
        <f t="shared" si="1"/>
        <v>5</v>
      </c>
      <c r="G53" s="64">
        <v>31.0</v>
      </c>
      <c r="H53" s="65"/>
      <c r="I53" s="83">
        <f t="shared" si="2"/>
        <v>3.875</v>
      </c>
      <c r="J53" s="64">
        <v>18.0</v>
      </c>
      <c r="K53" s="65"/>
      <c r="L53" s="83">
        <f t="shared" si="3"/>
        <v>2.25</v>
      </c>
      <c r="M53" s="64">
        <v>27.0</v>
      </c>
      <c r="N53" s="65"/>
      <c r="O53" s="83">
        <f t="shared" si="4"/>
        <v>3.375</v>
      </c>
      <c r="P53" s="64">
        <v>11.0</v>
      </c>
      <c r="Q53" s="65"/>
      <c r="R53" s="83">
        <f t="shared" si="5"/>
        <v>1.375</v>
      </c>
      <c r="S53" s="64">
        <v>8.0</v>
      </c>
      <c r="T53" s="65"/>
      <c r="U53" s="83">
        <f t="shared" si="6"/>
        <v>1</v>
      </c>
      <c r="V53" s="64">
        <v>17.0</v>
      </c>
      <c r="W53" s="65"/>
      <c r="X53" s="83">
        <f t="shared" si="7"/>
        <v>2.833333333</v>
      </c>
    </row>
    <row r="54" ht="19.5" customHeight="1">
      <c r="A54" s="23">
        <v>48.0</v>
      </c>
      <c r="B54" s="24" t="s">
        <v>114</v>
      </c>
      <c r="C54" s="30" t="s">
        <v>115</v>
      </c>
      <c r="D54" s="64">
        <v>32.0</v>
      </c>
      <c r="E54" s="65"/>
      <c r="F54" s="83">
        <f t="shared" si="1"/>
        <v>4</v>
      </c>
      <c r="G54" s="64">
        <v>10.0</v>
      </c>
      <c r="H54" s="65"/>
      <c r="I54" s="83">
        <f t="shared" si="2"/>
        <v>1.25</v>
      </c>
      <c r="J54" s="64">
        <v>0.0</v>
      </c>
      <c r="K54" s="65"/>
      <c r="L54" s="83">
        <f t="shared" si="3"/>
        <v>0</v>
      </c>
      <c r="M54" s="64">
        <v>13.0</v>
      </c>
      <c r="N54" s="65"/>
      <c r="O54" s="83">
        <f t="shared" si="4"/>
        <v>1.625</v>
      </c>
      <c r="P54" s="64">
        <v>13.0</v>
      </c>
      <c r="Q54" s="65"/>
      <c r="R54" s="83">
        <f t="shared" si="5"/>
        <v>1.625</v>
      </c>
      <c r="S54" s="64">
        <v>0.0</v>
      </c>
      <c r="T54" s="65"/>
      <c r="U54" s="83">
        <f t="shared" si="6"/>
        <v>0</v>
      </c>
      <c r="V54" s="64">
        <v>4.0</v>
      </c>
      <c r="W54" s="65"/>
      <c r="X54" s="83">
        <f t="shared" si="7"/>
        <v>0.6666666667</v>
      </c>
    </row>
    <row r="55" ht="19.5" customHeight="1">
      <c r="A55" s="23">
        <v>49.0</v>
      </c>
      <c r="B55" s="24" t="s">
        <v>116</v>
      </c>
      <c r="C55" s="30" t="s">
        <v>151</v>
      </c>
      <c r="D55" s="84">
        <v>0.0</v>
      </c>
      <c r="E55" s="65"/>
      <c r="F55" s="83">
        <f t="shared" si="1"/>
        <v>0</v>
      </c>
      <c r="G55" s="64">
        <v>3.0</v>
      </c>
      <c r="H55" s="65"/>
      <c r="I55" s="83">
        <f t="shared" si="2"/>
        <v>0.375</v>
      </c>
      <c r="J55" s="64">
        <v>0.0</v>
      </c>
      <c r="K55" s="65"/>
      <c r="L55" s="83">
        <f t="shared" si="3"/>
        <v>0</v>
      </c>
      <c r="M55" s="64">
        <v>13.0</v>
      </c>
      <c r="N55" s="65"/>
      <c r="O55" s="83">
        <f t="shared" si="4"/>
        <v>1.625</v>
      </c>
      <c r="P55" s="64">
        <v>16.0</v>
      </c>
      <c r="Q55" s="65"/>
      <c r="R55" s="83">
        <f t="shared" si="5"/>
        <v>2</v>
      </c>
      <c r="S55" s="64">
        <v>0.0</v>
      </c>
      <c r="T55" s="65"/>
      <c r="U55" s="83">
        <f t="shared" si="6"/>
        <v>0</v>
      </c>
      <c r="V55" s="64">
        <v>7.0</v>
      </c>
      <c r="W55" s="65"/>
      <c r="X55" s="83">
        <f t="shared" si="7"/>
        <v>1.166666667</v>
      </c>
    </row>
    <row r="56" ht="19.5" customHeight="1">
      <c r="A56" s="23">
        <v>50.0</v>
      </c>
      <c r="B56" s="24" t="s">
        <v>118</v>
      </c>
      <c r="C56" s="30" t="s">
        <v>119</v>
      </c>
      <c r="D56" s="64">
        <v>38.0</v>
      </c>
      <c r="E56" s="65"/>
      <c r="F56" s="83">
        <f t="shared" si="1"/>
        <v>4.75</v>
      </c>
      <c r="G56" s="64">
        <v>9.0</v>
      </c>
      <c r="H56" s="65"/>
      <c r="I56" s="83">
        <f t="shared" si="2"/>
        <v>1.125</v>
      </c>
      <c r="J56" s="64">
        <v>0.0</v>
      </c>
      <c r="K56" s="65"/>
      <c r="L56" s="83">
        <f t="shared" si="3"/>
        <v>0</v>
      </c>
      <c r="M56" s="64">
        <v>16.0</v>
      </c>
      <c r="N56" s="65"/>
      <c r="O56" s="83">
        <f t="shared" si="4"/>
        <v>2</v>
      </c>
      <c r="P56" s="64">
        <v>0.0</v>
      </c>
      <c r="Q56" s="65"/>
      <c r="R56" s="83">
        <f t="shared" si="5"/>
        <v>0</v>
      </c>
      <c r="S56" s="64">
        <v>0.0</v>
      </c>
      <c r="T56" s="65"/>
      <c r="U56" s="83">
        <f t="shared" si="6"/>
        <v>0</v>
      </c>
      <c r="V56" s="64">
        <v>2.0</v>
      </c>
      <c r="W56" s="65"/>
      <c r="X56" s="83">
        <f t="shared" si="7"/>
        <v>0.3333333333</v>
      </c>
    </row>
    <row r="57" ht="19.5" customHeight="1"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</row>
    <row r="58" ht="19.5" customHeight="1"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</row>
    <row r="59" ht="19.5" customHeight="1"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</row>
    <row r="60" ht="19.5" customHeight="1"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</row>
    <row r="61" ht="19.5" customHeight="1"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</row>
    <row r="62" ht="19.5" customHeight="1"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</row>
    <row r="63" ht="19.5" customHeight="1"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</row>
    <row r="64" ht="19.5" customHeight="1"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</row>
    <row r="65" ht="19.5" customHeight="1"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</row>
    <row r="66" ht="19.5" customHeight="1"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</row>
    <row r="67" ht="19.5" customHeight="1"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</row>
    <row r="68" ht="19.5" customHeight="1"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</row>
    <row r="69" ht="19.5" customHeight="1"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</row>
    <row r="70" ht="19.5" customHeight="1"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</row>
    <row r="71" ht="19.5" customHeight="1"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</row>
    <row r="72" ht="19.5" customHeight="1"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</row>
    <row r="73" ht="19.5" customHeight="1"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</row>
    <row r="74" ht="19.5" customHeight="1"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</row>
    <row r="75" ht="19.5" customHeight="1"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</row>
    <row r="76" ht="19.5" customHeight="1"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</row>
    <row r="77" ht="19.5" customHeight="1"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</row>
    <row r="78" ht="19.5" customHeight="1"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</row>
    <row r="79" ht="19.5" customHeight="1"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</row>
    <row r="80" ht="19.5" customHeight="1"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</row>
    <row r="81" ht="19.5" customHeight="1"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</row>
    <row r="82" ht="19.5" customHeight="1"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</row>
    <row r="83" ht="19.5" customHeight="1"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</row>
    <row r="84" ht="19.5" customHeight="1"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</row>
    <row r="85" ht="19.5" customHeight="1"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</row>
    <row r="86" ht="19.5" customHeight="1"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</row>
    <row r="87" ht="19.5" customHeight="1"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</row>
    <row r="88" ht="19.5" customHeight="1"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</row>
    <row r="89" ht="19.5" customHeight="1"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</row>
    <row r="90" ht="19.5" customHeight="1"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</row>
    <row r="91" ht="19.5" customHeight="1"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</row>
    <row r="92" ht="19.5" customHeight="1"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</row>
    <row r="93" ht="19.5" customHeight="1"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</row>
    <row r="94" ht="19.5" customHeight="1"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</row>
    <row r="95" ht="19.5" customHeight="1"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</row>
    <row r="96" ht="19.5" customHeight="1"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</row>
    <row r="97" ht="19.5" customHeight="1"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</row>
    <row r="98" ht="19.5" customHeight="1"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</row>
    <row r="99" ht="19.5" customHeight="1"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</row>
    <row r="100" ht="19.5" customHeight="1"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</row>
    <row r="101" ht="19.5" customHeight="1"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</row>
    <row r="102" ht="19.5" customHeight="1"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</row>
    <row r="103" ht="19.5" customHeight="1"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</row>
    <row r="104" ht="19.5" customHeight="1"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</row>
    <row r="105" ht="19.5" customHeight="1"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</row>
    <row r="106" ht="19.5" customHeight="1"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</row>
    <row r="107" ht="19.5" customHeight="1"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</row>
    <row r="108" ht="19.5" customHeight="1"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</row>
    <row r="109" ht="19.5" customHeight="1"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</row>
    <row r="110" ht="19.5" customHeight="1"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</row>
    <row r="111" ht="19.5" customHeight="1"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</row>
    <row r="112" ht="19.5" customHeight="1"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</row>
    <row r="113" ht="19.5" customHeight="1"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</row>
    <row r="114" ht="19.5" customHeight="1"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</row>
    <row r="115" ht="19.5" customHeight="1"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</row>
    <row r="116" ht="19.5" customHeight="1"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</row>
    <row r="117" ht="19.5" customHeight="1"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</row>
    <row r="118" ht="19.5" customHeight="1"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</row>
    <row r="119" ht="19.5" customHeight="1"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</row>
    <row r="120" ht="19.5" customHeight="1"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</row>
    <row r="121" ht="19.5" customHeight="1"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</row>
    <row r="122" ht="19.5" customHeight="1"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</row>
    <row r="123" ht="19.5" customHeight="1"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</row>
    <row r="124" ht="19.5" customHeight="1"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</row>
    <row r="125" ht="19.5" customHeight="1"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</row>
    <row r="126" ht="19.5" customHeight="1"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</row>
    <row r="127" ht="19.5" customHeight="1"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</row>
    <row r="128" ht="19.5" customHeight="1"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</row>
    <row r="129" ht="19.5" customHeight="1"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</row>
    <row r="130" ht="19.5" customHeight="1"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</row>
    <row r="131" ht="19.5" customHeight="1"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</row>
    <row r="132" ht="19.5" customHeight="1"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</row>
    <row r="133" ht="19.5" customHeight="1"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</row>
    <row r="134" ht="19.5" customHeight="1"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</row>
    <row r="135" ht="19.5" customHeight="1"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</row>
    <row r="136" ht="19.5" customHeight="1"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</row>
    <row r="137" ht="19.5" customHeight="1"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</row>
    <row r="138" ht="19.5" customHeight="1"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</row>
    <row r="139" ht="19.5" customHeight="1"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</row>
    <row r="140" ht="19.5" customHeight="1"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</row>
    <row r="141" ht="19.5" customHeight="1"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</row>
    <row r="142" ht="19.5" customHeight="1"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</row>
    <row r="143" ht="19.5" customHeight="1"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</row>
    <row r="144" ht="19.5" customHeight="1"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</row>
    <row r="145" ht="19.5" customHeight="1"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</row>
    <row r="146" ht="19.5" customHeight="1"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</row>
    <row r="147" ht="19.5" customHeight="1"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</row>
    <row r="148" ht="19.5" customHeight="1"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</row>
    <row r="149" ht="19.5" customHeight="1"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</row>
    <row r="150" ht="19.5" customHeight="1"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</row>
    <row r="151" ht="19.5" customHeight="1"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</row>
    <row r="152" ht="19.5" customHeight="1"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</row>
    <row r="153" ht="19.5" customHeight="1"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</row>
    <row r="154" ht="19.5" customHeight="1"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</row>
    <row r="155" ht="19.5" customHeight="1"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</row>
    <row r="156" ht="19.5" customHeight="1"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</row>
    <row r="157" ht="19.5" customHeight="1"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</row>
    <row r="158" ht="19.5" customHeight="1"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</row>
    <row r="159" ht="19.5" customHeight="1"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</row>
    <row r="160" ht="19.5" customHeight="1"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</row>
    <row r="161" ht="19.5" customHeight="1"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</row>
    <row r="162" ht="19.5" customHeight="1"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</row>
    <row r="163" ht="19.5" customHeight="1"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</row>
    <row r="164" ht="19.5" customHeight="1"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</row>
    <row r="165" ht="19.5" customHeight="1"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</row>
    <row r="166" ht="19.5" customHeight="1"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</row>
    <row r="167" ht="19.5" customHeight="1"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</row>
    <row r="168" ht="19.5" customHeight="1"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</row>
    <row r="169" ht="19.5" customHeight="1"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</row>
    <row r="170" ht="19.5" customHeight="1"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</row>
    <row r="171" ht="19.5" customHeight="1"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</row>
    <row r="172" ht="19.5" customHeight="1"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</row>
    <row r="173" ht="19.5" customHeight="1"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</row>
    <row r="174" ht="19.5" customHeight="1"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</row>
    <row r="175" ht="19.5" customHeight="1"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</row>
    <row r="176" ht="19.5" customHeight="1"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</row>
    <row r="177" ht="19.5" customHeight="1"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</row>
    <row r="178" ht="19.5" customHeight="1"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</row>
    <row r="179" ht="19.5" customHeight="1"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</row>
    <row r="180" ht="19.5" customHeight="1"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</row>
    <row r="181" ht="19.5" customHeight="1"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</row>
    <row r="182" ht="19.5" customHeight="1"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</row>
    <row r="183" ht="19.5" customHeight="1"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</row>
    <row r="184" ht="19.5" customHeight="1"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</row>
    <row r="185" ht="19.5" customHeight="1"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</row>
    <row r="186" ht="19.5" customHeight="1"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</row>
    <row r="187" ht="19.5" customHeight="1"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</row>
    <row r="188" ht="19.5" customHeight="1"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</row>
    <row r="189" ht="19.5" customHeight="1"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</row>
    <row r="190" ht="19.5" customHeight="1"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</row>
    <row r="191" ht="19.5" customHeight="1"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</row>
    <row r="192" ht="19.5" customHeight="1"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</row>
    <row r="193" ht="19.5" customHeight="1"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</row>
    <row r="194" ht="19.5" customHeight="1"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</row>
    <row r="195" ht="19.5" customHeight="1"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</row>
    <row r="196" ht="19.5" customHeight="1"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</row>
    <row r="197" ht="19.5" customHeight="1"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</row>
    <row r="198" ht="19.5" customHeight="1"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</row>
    <row r="199" ht="19.5" customHeight="1"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</row>
    <row r="200" ht="19.5" customHeight="1"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</row>
    <row r="201" ht="19.5" customHeight="1"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</row>
    <row r="202" ht="19.5" customHeight="1"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</row>
    <row r="203" ht="19.5" customHeight="1"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</row>
    <row r="204" ht="19.5" customHeight="1"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</row>
    <row r="205" ht="19.5" customHeight="1"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</row>
    <row r="206" ht="19.5" customHeight="1"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</row>
    <row r="207" ht="19.5" customHeight="1"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</row>
    <row r="208" ht="19.5" customHeight="1"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</row>
    <row r="209" ht="19.5" customHeight="1"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</row>
    <row r="210" ht="19.5" customHeight="1"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</row>
    <row r="211" ht="19.5" customHeight="1"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</row>
    <row r="212" ht="19.5" customHeight="1"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</row>
    <row r="213" ht="19.5" customHeight="1"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</row>
    <row r="214" ht="19.5" customHeight="1"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</row>
    <row r="215" ht="19.5" customHeight="1"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</row>
    <row r="216" ht="19.5" customHeight="1"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</row>
    <row r="217" ht="19.5" customHeight="1"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</row>
    <row r="218" ht="19.5" customHeight="1"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</row>
    <row r="219" ht="19.5" customHeight="1"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</row>
    <row r="220" ht="19.5" customHeight="1"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</row>
    <row r="221" ht="19.5" customHeight="1"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</row>
    <row r="222" ht="19.5" customHeight="1"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</row>
    <row r="223" ht="19.5" customHeight="1"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</row>
    <row r="224" ht="19.5" customHeight="1"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</row>
    <row r="225" ht="19.5" customHeight="1"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</row>
    <row r="226" ht="19.5" customHeight="1"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</row>
    <row r="227" ht="19.5" customHeight="1"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</row>
    <row r="228" ht="19.5" customHeight="1"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</row>
    <row r="229" ht="19.5" customHeight="1"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</row>
    <row r="230" ht="19.5" customHeight="1"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</row>
    <row r="231" ht="19.5" customHeight="1"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</row>
    <row r="232" ht="19.5" customHeight="1"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</row>
    <row r="233" ht="19.5" customHeight="1"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</row>
    <row r="234" ht="19.5" customHeight="1"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</row>
    <row r="235" ht="19.5" customHeight="1"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</row>
    <row r="236" ht="19.5" customHeight="1"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</row>
    <row r="237" ht="19.5" customHeight="1"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</row>
    <row r="238" ht="19.5" customHeight="1"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</row>
    <row r="239" ht="19.5" customHeight="1"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</row>
    <row r="240" ht="19.5" customHeight="1"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</row>
    <row r="241" ht="19.5" customHeight="1"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</row>
    <row r="242" ht="19.5" customHeight="1"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</row>
    <row r="243" ht="19.5" customHeight="1"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</row>
    <row r="244" ht="19.5" customHeight="1"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</row>
    <row r="245" ht="19.5" customHeight="1"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</row>
    <row r="246" ht="19.5" customHeight="1"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</row>
    <row r="247" ht="19.5" customHeight="1"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</row>
    <row r="248" ht="19.5" customHeight="1"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</row>
    <row r="249" ht="19.5" customHeight="1"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</row>
    <row r="250" ht="19.5" customHeight="1"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</row>
    <row r="251" ht="19.5" customHeight="1"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</row>
    <row r="252" ht="19.5" customHeight="1"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</row>
    <row r="253" ht="19.5" customHeight="1"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</row>
    <row r="254" ht="19.5" customHeight="1"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</row>
    <row r="255" ht="19.5" customHeight="1"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</row>
    <row r="256" ht="19.5" customHeight="1"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</row>
    <row r="257" ht="19.5" customHeight="1"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</row>
    <row r="258" ht="19.5" customHeight="1"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</row>
    <row r="259" ht="19.5" customHeight="1"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</row>
    <row r="260" ht="19.5" customHeight="1"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</row>
    <row r="261" ht="19.5" customHeight="1"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</row>
    <row r="262" ht="19.5" customHeight="1"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</row>
    <row r="263" ht="19.5" customHeight="1"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</row>
    <row r="264" ht="19.5" customHeight="1"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</row>
    <row r="265" ht="19.5" customHeight="1"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</row>
    <row r="266" ht="19.5" customHeight="1"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</row>
    <row r="267" ht="19.5" customHeight="1"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</row>
    <row r="268" ht="19.5" customHeight="1"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</row>
    <row r="269" ht="19.5" customHeight="1"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</row>
    <row r="270" ht="19.5" customHeight="1"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</row>
    <row r="271" ht="19.5" customHeight="1"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</row>
    <row r="272" ht="19.5" customHeight="1"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</row>
    <row r="273" ht="19.5" customHeight="1"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</row>
    <row r="274" ht="19.5" customHeight="1"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</row>
    <row r="275" ht="19.5" customHeight="1"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</row>
    <row r="276" ht="19.5" customHeight="1"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</row>
    <row r="277" ht="19.5" customHeight="1"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</row>
    <row r="278" ht="19.5" customHeight="1"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</row>
    <row r="279" ht="19.5" customHeight="1"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</row>
    <row r="280" ht="19.5" customHeight="1"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</row>
    <row r="281" ht="19.5" customHeight="1"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</row>
    <row r="282" ht="19.5" customHeight="1"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</row>
    <row r="283" ht="19.5" customHeight="1"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</row>
    <row r="284" ht="19.5" customHeight="1"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</row>
    <row r="285" ht="19.5" customHeight="1"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</row>
    <row r="286" ht="19.5" customHeight="1"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</row>
    <row r="287" ht="19.5" customHeight="1"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</row>
    <row r="288" ht="19.5" customHeight="1"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</row>
    <row r="289" ht="19.5" customHeight="1"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</row>
    <row r="290" ht="19.5" customHeight="1"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</row>
    <row r="291" ht="19.5" customHeight="1"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</row>
    <row r="292" ht="19.5" customHeight="1"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</row>
    <row r="293" ht="19.5" customHeight="1"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</row>
    <row r="294" ht="19.5" customHeight="1"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</row>
    <row r="295" ht="19.5" customHeight="1"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</row>
    <row r="296" ht="19.5" customHeight="1"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</row>
    <row r="297" ht="19.5" customHeight="1"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</row>
    <row r="298" ht="19.5" customHeight="1"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</row>
    <row r="299" ht="19.5" customHeight="1"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</row>
    <row r="300" ht="19.5" customHeight="1"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</row>
    <row r="301" ht="19.5" customHeight="1"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</row>
    <row r="302" ht="19.5" customHeight="1"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</row>
    <row r="303" ht="19.5" customHeight="1"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</row>
    <row r="304" ht="19.5" customHeight="1"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</row>
    <row r="305" ht="19.5" customHeight="1"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</row>
    <row r="306" ht="19.5" customHeight="1"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</row>
    <row r="307" ht="19.5" customHeight="1"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</row>
    <row r="308" ht="19.5" customHeight="1"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</row>
    <row r="309" ht="19.5" customHeight="1"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</row>
    <row r="310" ht="19.5" customHeight="1"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</row>
    <row r="311" ht="19.5" customHeight="1"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</row>
    <row r="312" ht="19.5" customHeight="1"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</row>
    <row r="313" ht="19.5" customHeight="1"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</row>
    <row r="314" ht="19.5" customHeight="1"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</row>
    <row r="315" ht="19.5" customHeight="1"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</row>
    <row r="316" ht="19.5" customHeight="1"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</row>
    <row r="317" ht="19.5" customHeight="1"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</row>
    <row r="318" ht="19.5" customHeight="1"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</row>
    <row r="319" ht="19.5" customHeight="1"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</row>
    <row r="320" ht="19.5" customHeight="1"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</row>
    <row r="321" ht="19.5" customHeight="1"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</row>
    <row r="322" ht="19.5" customHeight="1"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</row>
    <row r="323" ht="19.5" customHeight="1"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</row>
    <row r="324" ht="19.5" customHeight="1"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</row>
    <row r="325" ht="19.5" customHeight="1"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</row>
    <row r="326" ht="19.5" customHeight="1"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</row>
    <row r="327" ht="19.5" customHeight="1"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</row>
    <row r="328" ht="19.5" customHeight="1"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</row>
    <row r="329" ht="19.5" customHeight="1"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</row>
    <row r="330" ht="19.5" customHeight="1"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</row>
    <row r="331" ht="19.5" customHeight="1"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</row>
    <row r="332" ht="19.5" customHeight="1"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</row>
    <row r="333" ht="19.5" customHeight="1"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</row>
    <row r="334" ht="19.5" customHeight="1"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</row>
    <row r="335" ht="19.5" customHeight="1"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</row>
    <row r="336" ht="19.5" customHeight="1"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</row>
    <row r="337" ht="19.5" customHeight="1"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</row>
    <row r="338" ht="19.5" customHeight="1"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</row>
    <row r="339" ht="19.5" customHeight="1"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</row>
    <row r="340" ht="19.5" customHeight="1"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</row>
    <row r="341" ht="19.5" customHeight="1"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</row>
    <row r="342" ht="19.5" customHeight="1"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</row>
    <row r="343" ht="19.5" customHeight="1"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</row>
    <row r="344" ht="19.5" customHeight="1"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</row>
    <row r="345" ht="19.5" customHeight="1"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</row>
    <row r="346" ht="19.5" customHeight="1"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</row>
    <row r="347" ht="19.5" customHeight="1"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</row>
    <row r="348" ht="19.5" customHeight="1"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</row>
    <row r="349" ht="19.5" customHeight="1"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</row>
    <row r="350" ht="19.5" customHeight="1"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</row>
    <row r="351" ht="19.5" customHeight="1"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</row>
    <row r="352" ht="19.5" customHeight="1"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</row>
    <row r="353" ht="19.5" customHeight="1"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</row>
    <row r="354" ht="19.5" customHeight="1"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</row>
    <row r="355" ht="19.5" customHeight="1"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</row>
    <row r="356" ht="19.5" customHeight="1"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</row>
    <row r="357" ht="19.5" customHeight="1"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</row>
    <row r="358" ht="19.5" customHeight="1"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</row>
    <row r="359" ht="19.5" customHeight="1"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</row>
    <row r="360" ht="19.5" customHeight="1"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</row>
    <row r="361" ht="19.5" customHeight="1"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</row>
    <row r="362" ht="19.5" customHeight="1"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</row>
    <row r="363" ht="19.5" customHeight="1"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</row>
    <row r="364" ht="19.5" customHeight="1"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</row>
    <row r="365" ht="19.5" customHeight="1"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</row>
    <row r="366" ht="19.5" customHeight="1"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</row>
    <row r="367" ht="19.5" customHeight="1"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</row>
    <row r="368" ht="19.5" customHeight="1"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</row>
    <row r="369" ht="19.5" customHeight="1"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</row>
    <row r="370" ht="19.5" customHeight="1"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</row>
    <row r="371" ht="19.5" customHeight="1"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</row>
    <row r="372" ht="19.5" customHeight="1"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</row>
    <row r="373" ht="19.5" customHeight="1"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</row>
    <row r="374" ht="19.5" customHeight="1"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</row>
    <row r="375" ht="19.5" customHeight="1"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</row>
    <row r="376" ht="19.5" customHeight="1"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</row>
    <row r="377" ht="19.5" customHeight="1"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</row>
    <row r="378" ht="19.5" customHeight="1"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</row>
    <row r="379" ht="19.5" customHeight="1"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</row>
    <row r="380" ht="19.5" customHeight="1"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</row>
    <row r="381" ht="19.5" customHeight="1"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</row>
    <row r="382" ht="19.5" customHeight="1"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</row>
    <row r="383" ht="19.5" customHeight="1"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</row>
    <row r="384" ht="19.5" customHeight="1"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</row>
    <row r="385" ht="19.5" customHeight="1"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</row>
    <row r="386" ht="19.5" customHeight="1"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</row>
    <row r="387" ht="19.5" customHeight="1"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</row>
    <row r="388" ht="19.5" customHeight="1"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</row>
    <row r="389" ht="19.5" customHeight="1"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</row>
    <row r="390" ht="19.5" customHeight="1"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</row>
    <row r="391" ht="19.5" customHeight="1"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</row>
    <row r="392" ht="19.5" customHeight="1"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</row>
    <row r="393" ht="19.5" customHeight="1"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</row>
    <row r="394" ht="19.5" customHeight="1"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</row>
    <row r="395" ht="19.5" customHeight="1"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</row>
    <row r="396" ht="19.5" customHeight="1"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</row>
    <row r="397" ht="19.5" customHeight="1"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</row>
    <row r="398" ht="19.5" customHeight="1"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</row>
    <row r="399" ht="19.5" customHeight="1"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</row>
    <row r="400" ht="19.5" customHeight="1"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</row>
    <row r="401" ht="19.5" customHeight="1"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</row>
    <row r="402" ht="19.5" customHeight="1"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</row>
    <row r="403" ht="19.5" customHeight="1"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</row>
    <row r="404" ht="19.5" customHeight="1"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</row>
    <row r="405" ht="19.5" customHeight="1"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</row>
    <row r="406" ht="19.5" customHeight="1"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</row>
    <row r="407" ht="19.5" customHeight="1"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</row>
    <row r="408" ht="19.5" customHeight="1"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</row>
    <row r="409" ht="19.5" customHeight="1"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</row>
    <row r="410" ht="19.5" customHeight="1"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</row>
    <row r="411" ht="19.5" customHeight="1"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</row>
    <row r="412" ht="19.5" customHeight="1"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</row>
    <row r="413" ht="19.5" customHeight="1"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</row>
    <row r="414" ht="19.5" customHeight="1"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</row>
    <row r="415" ht="19.5" customHeight="1"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</row>
    <row r="416" ht="19.5" customHeight="1"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</row>
    <row r="417" ht="19.5" customHeight="1"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</row>
    <row r="418" ht="19.5" customHeight="1"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</row>
    <row r="419" ht="19.5" customHeight="1"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</row>
    <row r="420" ht="19.5" customHeight="1"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</row>
    <row r="421" ht="19.5" customHeight="1"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</row>
    <row r="422" ht="19.5" customHeight="1"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</row>
    <row r="423" ht="19.5" customHeight="1"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</row>
    <row r="424" ht="19.5" customHeight="1"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</row>
    <row r="425" ht="19.5" customHeight="1"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</row>
    <row r="426" ht="19.5" customHeight="1"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</row>
    <row r="427" ht="19.5" customHeight="1"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</row>
    <row r="428" ht="19.5" customHeight="1"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</row>
    <row r="429" ht="19.5" customHeight="1"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</row>
    <row r="430" ht="19.5" customHeight="1"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</row>
    <row r="431" ht="19.5" customHeight="1"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</row>
    <row r="432" ht="19.5" customHeight="1"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</row>
    <row r="433" ht="19.5" customHeight="1"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</row>
    <row r="434" ht="19.5" customHeight="1"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</row>
    <row r="435" ht="19.5" customHeight="1"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</row>
    <row r="436" ht="19.5" customHeight="1"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</row>
    <row r="437" ht="19.5" customHeight="1"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</row>
    <row r="438" ht="19.5" customHeight="1"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</row>
    <row r="439" ht="19.5" customHeight="1"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</row>
    <row r="440" ht="19.5" customHeight="1"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</row>
    <row r="441" ht="19.5" customHeight="1"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</row>
    <row r="442" ht="19.5" customHeight="1"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</row>
    <row r="443" ht="19.5" customHeight="1"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</row>
    <row r="444" ht="19.5" customHeight="1"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</row>
    <row r="445" ht="19.5" customHeight="1"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</row>
    <row r="446" ht="19.5" customHeight="1"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</row>
    <row r="447" ht="19.5" customHeight="1"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</row>
    <row r="448" ht="19.5" customHeight="1"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</row>
    <row r="449" ht="19.5" customHeight="1"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</row>
    <row r="450" ht="19.5" customHeight="1"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</row>
    <row r="451" ht="19.5" customHeight="1"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</row>
    <row r="452" ht="19.5" customHeight="1"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</row>
    <row r="453" ht="19.5" customHeight="1"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</row>
    <row r="454" ht="19.5" customHeight="1"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</row>
    <row r="455" ht="19.5" customHeight="1"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</row>
    <row r="456" ht="19.5" customHeight="1"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</row>
    <row r="457" ht="19.5" customHeight="1"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</row>
    <row r="458" ht="19.5" customHeight="1"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</row>
    <row r="459" ht="19.5" customHeight="1"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</row>
    <row r="460" ht="19.5" customHeight="1"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</row>
    <row r="461" ht="19.5" customHeight="1"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</row>
    <row r="462" ht="19.5" customHeight="1"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</row>
    <row r="463" ht="19.5" customHeight="1"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</row>
    <row r="464" ht="19.5" customHeight="1"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</row>
    <row r="465" ht="19.5" customHeight="1"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</row>
    <row r="466" ht="19.5" customHeight="1"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</row>
    <row r="467" ht="19.5" customHeight="1"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</row>
    <row r="468" ht="19.5" customHeight="1"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</row>
    <row r="469" ht="19.5" customHeight="1"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</row>
    <row r="470" ht="19.5" customHeight="1"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</row>
    <row r="471" ht="19.5" customHeight="1"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</row>
    <row r="472" ht="19.5" customHeight="1"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</row>
    <row r="473" ht="19.5" customHeight="1"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</row>
    <row r="474" ht="19.5" customHeight="1"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</row>
    <row r="475" ht="19.5" customHeight="1"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</row>
    <row r="476" ht="19.5" customHeight="1"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</row>
    <row r="477" ht="19.5" customHeight="1"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</row>
    <row r="478" ht="19.5" customHeight="1"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</row>
    <row r="479" ht="19.5" customHeight="1"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</row>
    <row r="480" ht="19.5" customHeight="1"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</row>
    <row r="481" ht="19.5" customHeight="1"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</row>
    <row r="482" ht="19.5" customHeight="1"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</row>
    <row r="483" ht="19.5" customHeight="1"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</row>
    <row r="484" ht="19.5" customHeight="1"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</row>
    <row r="485" ht="19.5" customHeight="1"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</row>
    <row r="486" ht="19.5" customHeight="1"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</row>
    <row r="487" ht="19.5" customHeight="1"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</row>
    <row r="488" ht="19.5" customHeight="1"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</row>
    <row r="489" ht="19.5" customHeight="1"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</row>
    <row r="490" ht="19.5" customHeight="1"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</row>
    <row r="491" ht="19.5" customHeight="1"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</row>
    <row r="492" ht="19.5" customHeight="1"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</row>
    <row r="493" ht="19.5" customHeight="1"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</row>
    <row r="494" ht="19.5" customHeight="1"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</row>
    <row r="495" ht="19.5" customHeight="1"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</row>
    <row r="496" ht="19.5" customHeight="1"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</row>
    <row r="497" ht="19.5" customHeight="1"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</row>
    <row r="498" ht="19.5" customHeight="1"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</row>
    <row r="499" ht="19.5" customHeight="1"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</row>
    <row r="500" ht="19.5" customHeight="1"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</row>
    <row r="501" ht="19.5" customHeight="1"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</row>
    <row r="502" ht="19.5" customHeight="1"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</row>
    <row r="503" ht="19.5" customHeight="1"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</row>
    <row r="504" ht="19.5" customHeight="1"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</row>
    <row r="505" ht="19.5" customHeight="1"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</row>
    <row r="506" ht="19.5" customHeight="1"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</row>
    <row r="507" ht="19.5" customHeight="1"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</row>
    <row r="508" ht="19.5" customHeight="1"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</row>
    <row r="509" ht="19.5" customHeight="1"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</row>
    <row r="510" ht="19.5" customHeight="1"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</row>
    <row r="511" ht="19.5" customHeight="1"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</row>
    <row r="512" ht="19.5" customHeight="1"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</row>
    <row r="513" ht="19.5" customHeight="1"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</row>
    <row r="514" ht="19.5" customHeight="1"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</row>
    <row r="515" ht="19.5" customHeight="1"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</row>
    <row r="516" ht="19.5" customHeight="1"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</row>
    <row r="517" ht="19.5" customHeight="1"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</row>
    <row r="518" ht="19.5" customHeight="1"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</row>
    <row r="519" ht="19.5" customHeight="1"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</row>
    <row r="520" ht="19.5" customHeight="1"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</row>
    <row r="521" ht="19.5" customHeight="1"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</row>
    <row r="522" ht="19.5" customHeight="1"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</row>
    <row r="523" ht="19.5" customHeight="1"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</row>
    <row r="524" ht="19.5" customHeight="1"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</row>
    <row r="525" ht="19.5" customHeight="1"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</row>
    <row r="526" ht="19.5" customHeight="1"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</row>
    <row r="527" ht="19.5" customHeight="1"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</row>
    <row r="528" ht="19.5" customHeight="1"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</row>
    <row r="529" ht="19.5" customHeight="1"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</row>
    <row r="530" ht="19.5" customHeight="1"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</row>
    <row r="531" ht="19.5" customHeight="1"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</row>
    <row r="532" ht="19.5" customHeight="1"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</row>
    <row r="533" ht="19.5" customHeight="1"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</row>
    <row r="534" ht="19.5" customHeight="1"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</row>
    <row r="535" ht="19.5" customHeight="1"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</row>
    <row r="536" ht="19.5" customHeight="1"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</row>
    <row r="537" ht="19.5" customHeight="1"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</row>
    <row r="538" ht="19.5" customHeight="1"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</row>
    <row r="539" ht="19.5" customHeight="1"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</row>
    <row r="540" ht="19.5" customHeight="1"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</row>
    <row r="541" ht="19.5" customHeight="1"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</row>
    <row r="542" ht="19.5" customHeight="1"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</row>
    <row r="543" ht="19.5" customHeight="1"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</row>
    <row r="544" ht="19.5" customHeight="1"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</row>
    <row r="545" ht="19.5" customHeight="1"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</row>
    <row r="546" ht="19.5" customHeight="1"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</row>
    <row r="547" ht="19.5" customHeight="1"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</row>
    <row r="548" ht="19.5" customHeight="1"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</row>
    <row r="549" ht="19.5" customHeight="1"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</row>
    <row r="550" ht="19.5" customHeight="1"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</row>
    <row r="551" ht="19.5" customHeight="1"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</row>
    <row r="552" ht="19.5" customHeight="1"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</row>
    <row r="553" ht="19.5" customHeight="1"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</row>
    <row r="554" ht="19.5" customHeight="1"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</row>
    <row r="555" ht="19.5" customHeight="1"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</row>
    <row r="556" ht="19.5" customHeight="1"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</row>
    <row r="557" ht="19.5" customHeight="1"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</row>
    <row r="558" ht="19.5" customHeight="1"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</row>
    <row r="559" ht="19.5" customHeight="1"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</row>
    <row r="560" ht="19.5" customHeight="1"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</row>
    <row r="561" ht="19.5" customHeight="1"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</row>
    <row r="562" ht="19.5" customHeight="1"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</row>
    <row r="563" ht="19.5" customHeight="1"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</row>
    <row r="564" ht="19.5" customHeight="1"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</row>
    <row r="565" ht="19.5" customHeight="1"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</row>
    <row r="566" ht="19.5" customHeight="1"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</row>
    <row r="567" ht="19.5" customHeight="1"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</row>
    <row r="568" ht="19.5" customHeight="1"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</row>
    <row r="569" ht="19.5" customHeight="1"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</row>
    <row r="570" ht="19.5" customHeight="1"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</row>
    <row r="571" ht="19.5" customHeight="1"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</row>
    <row r="572" ht="19.5" customHeight="1"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</row>
    <row r="573" ht="19.5" customHeight="1"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</row>
    <row r="574" ht="19.5" customHeight="1"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</row>
    <row r="575" ht="19.5" customHeight="1"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</row>
    <row r="576" ht="19.5" customHeight="1"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</row>
    <row r="577" ht="19.5" customHeight="1"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</row>
    <row r="578" ht="19.5" customHeight="1"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</row>
    <row r="579" ht="19.5" customHeight="1"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</row>
    <row r="580" ht="19.5" customHeight="1"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</row>
    <row r="581" ht="19.5" customHeight="1"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</row>
    <row r="582" ht="19.5" customHeight="1"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</row>
    <row r="583" ht="19.5" customHeight="1"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</row>
    <row r="584" ht="19.5" customHeight="1"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</row>
    <row r="585" ht="19.5" customHeight="1"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</row>
    <row r="586" ht="19.5" customHeight="1"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</row>
    <row r="587" ht="19.5" customHeight="1"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</row>
    <row r="588" ht="19.5" customHeight="1"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</row>
    <row r="589" ht="19.5" customHeight="1"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</row>
    <row r="590" ht="19.5" customHeight="1"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</row>
    <row r="591" ht="19.5" customHeight="1"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</row>
    <row r="592" ht="19.5" customHeight="1"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</row>
    <row r="593" ht="19.5" customHeight="1"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</row>
    <row r="594" ht="19.5" customHeight="1"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</row>
    <row r="595" ht="19.5" customHeight="1"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</row>
    <row r="596" ht="19.5" customHeight="1"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</row>
    <row r="597" ht="19.5" customHeight="1"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</row>
    <row r="598" ht="19.5" customHeight="1"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</row>
    <row r="599" ht="19.5" customHeight="1"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</row>
    <row r="600" ht="19.5" customHeight="1"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</row>
    <row r="601" ht="19.5" customHeight="1"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</row>
    <row r="602" ht="19.5" customHeight="1"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</row>
    <row r="603" ht="19.5" customHeight="1"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</row>
    <row r="604" ht="19.5" customHeight="1"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</row>
    <row r="605" ht="19.5" customHeight="1"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</row>
    <row r="606" ht="19.5" customHeight="1"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</row>
    <row r="607" ht="19.5" customHeight="1"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</row>
    <row r="608" ht="19.5" customHeight="1"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</row>
    <row r="609" ht="19.5" customHeight="1"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</row>
    <row r="610" ht="19.5" customHeight="1"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</row>
    <row r="611" ht="19.5" customHeight="1"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</row>
    <row r="612" ht="19.5" customHeight="1"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</row>
    <row r="613" ht="19.5" customHeight="1"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</row>
    <row r="614" ht="19.5" customHeight="1"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</row>
    <row r="615" ht="19.5" customHeight="1"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</row>
    <row r="616" ht="19.5" customHeight="1"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</row>
    <row r="617" ht="19.5" customHeight="1"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</row>
    <row r="618" ht="19.5" customHeight="1"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</row>
    <row r="619" ht="19.5" customHeight="1"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</row>
    <row r="620" ht="19.5" customHeight="1"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</row>
    <row r="621" ht="19.5" customHeight="1"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</row>
    <row r="622" ht="19.5" customHeight="1"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</row>
    <row r="623" ht="19.5" customHeight="1"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</row>
    <row r="624" ht="19.5" customHeight="1"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</row>
    <row r="625" ht="19.5" customHeight="1"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</row>
    <row r="626" ht="19.5" customHeight="1"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</row>
    <row r="627" ht="19.5" customHeight="1"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</row>
    <row r="628" ht="19.5" customHeight="1"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</row>
    <row r="629" ht="19.5" customHeight="1"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</row>
    <row r="630" ht="19.5" customHeight="1"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</row>
    <row r="631" ht="19.5" customHeight="1"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</row>
    <row r="632" ht="19.5" customHeight="1"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</row>
    <row r="633" ht="19.5" customHeight="1"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</row>
    <row r="634" ht="19.5" customHeight="1"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</row>
    <row r="635" ht="19.5" customHeight="1"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</row>
    <row r="636" ht="19.5" customHeight="1"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</row>
    <row r="637" ht="19.5" customHeight="1"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</row>
    <row r="638" ht="19.5" customHeight="1"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</row>
    <row r="639" ht="19.5" customHeight="1"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</row>
    <row r="640" ht="19.5" customHeight="1"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</row>
    <row r="641" ht="19.5" customHeight="1"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</row>
    <row r="642" ht="19.5" customHeight="1"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</row>
    <row r="643" ht="19.5" customHeight="1"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</row>
    <row r="644" ht="19.5" customHeight="1"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</row>
    <row r="645" ht="19.5" customHeight="1"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</row>
    <row r="646" ht="19.5" customHeight="1"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</row>
    <row r="647" ht="19.5" customHeight="1"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</row>
    <row r="648" ht="19.5" customHeight="1"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</row>
    <row r="649" ht="19.5" customHeight="1"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</row>
    <row r="650" ht="19.5" customHeight="1"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</row>
    <row r="651" ht="19.5" customHeight="1"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</row>
    <row r="652" ht="19.5" customHeight="1"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</row>
    <row r="653" ht="19.5" customHeight="1"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</row>
    <row r="654" ht="19.5" customHeight="1"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</row>
    <row r="655" ht="19.5" customHeight="1"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</row>
    <row r="656" ht="19.5" customHeight="1"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</row>
    <row r="657" ht="19.5" customHeight="1"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</row>
    <row r="658" ht="19.5" customHeight="1"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</row>
    <row r="659" ht="19.5" customHeight="1"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</row>
    <row r="660" ht="19.5" customHeight="1"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</row>
    <row r="661" ht="19.5" customHeight="1"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</row>
    <row r="662" ht="19.5" customHeight="1"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</row>
    <row r="663" ht="19.5" customHeight="1"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</row>
    <row r="664" ht="19.5" customHeight="1"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</row>
    <row r="665" ht="19.5" customHeight="1"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</row>
    <row r="666" ht="19.5" customHeight="1"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</row>
    <row r="667" ht="19.5" customHeight="1"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</row>
    <row r="668" ht="19.5" customHeight="1"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</row>
    <row r="669" ht="19.5" customHeight="1"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</row>
    <row r="670" ht="19.5" customHeight="1"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</row>
    <row r="671" ht="19.5" customHeight="1"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</row>
    <row r="672" ht="19.5" customHeight="1"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</row>
    <row r="673" ht="19.5" customHeight="1"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</row>
    <row r="674" ht="19.5" customHeight="1"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</row>
    <row r="675" ht="19.5" customHeight="1"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</row>
    <row r="676" ht="19.5" customHeight="1"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</row>
    <row r="677" ht="19.5" customHeight="1"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</row>
    <row r="678" ht="19.5" customHeight="1"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</row>
    <row r="679" ht="19.5" customHeight="1"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</row>
    <row r="680" ht="19.5" customHeight="1"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</row>
    <row r="681" ht="19.5" customHeight="1"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</row>
    <row r="682" ht="19.5" customHeight="1"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</row>
    <row r="683" ht="19.5" customHeight="1"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</row>
    <row r="684" ht="19.5" customHeight="1"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</row>
    <row r="685" ht="19.5" customHeight="1"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</row>
    <row r="686" ht="19.5" customHeight="1"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</row>
    <row r="687" ht="19.5" customHeight="1"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</row>
    <row r="688" ht="19.5" customHeight="1"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</row>
    <row r="689" ht="19.5" customHeight="1"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</row>
    <row r="690" ht="19.5" customHeight="1"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</row>
    <row r="691" ht="19.5" customHeight="1"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</row>
    <row r="692" ht="19.5" customHeight="1"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</row>
    <row r="693" ht="19.5" customHeight="1"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</row>
    <row r="694" ht="19.5" customHeight="1"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</row>
    <row r="695" ht="19.5" customHeight="1"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</row>
    <row r="696" ht="19.5" customHeight="1"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</row>
    <row r="697" ht="19.5" customHeight="1"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</row>
    <row r="698" ht="19.5" customHeight="1"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</row>
    <row r="699" ht="19.5" customHeight="1"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</row>
    <row r="700" ht="19.5" customHeight="1"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</row>
    <row r="701" ht="19.5" customHeight="1"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</row>
    <row r="702" ht="19.5" customHeight="1"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</row>
    <row r="703" ht="19.5" customHeight="1"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</row>
    <row r="704" ht="19.5" customHeight="1"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</row>
    <row r="705" ht="19.5" customHeight="1"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</row>
    <row r="706" ht="19.5" customHeight="1"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</row>
    <row r="707" ht="19.5" customHeight="1"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</row>
    <row r="708" ht="19.5" customHeight="1"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</row>
    <row r="709" ht="19.5" customHeight="1"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</row>
    <row r="710" ht="19.5" customHeight="1"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</row>
    <row r="711" ht="19.5" customHeight="1"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</row>
    <row r="712" ht="19.5" customHeight="1"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</row>
    <row r="713" ht="19.5" customHeight="1"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</row>
    <row r="714" ht="19.5" customHeight="1"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</row>
    <row r="715" ht="19.5" customHeight="1"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</row>
    <row r="716" ht="19.5" customHeight="1"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</row>
    <row r="717" ht="19.5" customHeight="1"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</row>
    <row r="718" ht="19.5" customHeight="1"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</row>
    <row r="719" ht="19.5" customHeight="1"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</row>
    <row r="720" ht="19.5" customHeight="1"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</row>
    <row r="721" ht="19.5" customHeight="1"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</row>
    <row r="722" ht="19.5" customHeight="1"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</row>
    <row r="723" ht="19.5" customHeight="1"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</row>
    <row r="724" ht="19.5" customHeight="1"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</row>
    <row r="725" ht="19.5" customHeight="1"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</row>
    <row r="726" ht="19.5" customHeight="1"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</row>
    <row r="727" ht="19.5" customHeight="1"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</row>
    <row r="728" ht="19.5" customHeight="1"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</row>
    <row r="729" ht="19.5" customHeight="1"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</row>
    <row r="730" ht="19.5" customHeight="1"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</row>
    <row r="731" ht="19.5" customHeight="1"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</row>
    <row r="732" ht="19.5" customHeight="1"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</row>
    <row r="733" ht="19.5" customHeight="1"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</row>
    <row r="734" ht="19.5" customHeight="1"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</row>
    <row r="735" ht="19.5" customHeight="1"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</row>
    <row r="736" ht="19.5" customHeight="1"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</row>
    <row r="737" ht="19.5" customHeight="1"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</row>
    <row r="738" ht="19.5" customHeight="1"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</row>
    <row r="739" ht="19.5" customHeight="1"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</row>
    <row r="740" ht="19.5" customHeight="1"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</row>
    <row r="741" ht="19.5" customHeight="1"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</row>
    <row r="742" ht="19.5" customHeight="1"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</row>
    <row r="743" ht="19.5" customHeight="1"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</row>
    <row r="744" ht="19.5" customHeight="1"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</row>
    <row r="745" ht="19.5" customHeight="1"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</row>
    <row r="746" ht="19.5" customHeight="1"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</row>
    <row r="747" ht="19.5" customHeight="1"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</row>
    <row r="748" ht="19.5" customHeight="1"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</row>
    <row r="749" ht="19.5" customHeight="1"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</row>
    <row r="750" ht="19.5" customHeight="1"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</row>
    <row r="751" ht="19.5" customHeight="1"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</row>
    <row r="752" ht="19.5" customHeight="1"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</row>
    <row r="753" ht="19.5" customHeight="1"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</row>
    <row r="754" ht="19.5" customHeight="1"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</row>
    <row r="755" ht="19.5" customHeight="1"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</row>
    <row r="756" ht="19.5" customHeight="1"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</row>
    <row r="757" ht="19.5" customHeight="1"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</row>
    <row r="758" ht="19.5" customHeight="1"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</row>
    <row r="759" ht="19.5" customHeight="1"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</row>
    <row r="760" ht="19.5" customHeight="1"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</row>
    <row r="761" ht="19.5" customHeight="1"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</row>
    <row r="762" ht="19.5" customHeight="1"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</row>
    <row r="763" ht="19.5" customHeight="1"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</row>
    <row r="764" ht="19.5" customHeight="1"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</row>
    <row r="765" ht="19.5" customHeight="1"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</row>
    <row r="766" ht="19.5" customHeight="1"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</row>
    <row r="767" ht="19.5" customHeight="1"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</row>
    <row r="768" ht="19.5" customHeight="1"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</row>
    <row r="769" ht="19.5" customHeight="1"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</row>
    <row r="770" ht="19.5" customHeight="1"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</row>
    <row r="771" ht="19.5" customHeight="1"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</row>
    <row r="772" ht="19.5" customHeight="1"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</row>
    <row r="773" ht="19.5" customHeight="1"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</row>
    <row r="774" ht="19.5" customHeight="1"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</row>
    <row r="775" ht="19.5" customHeight="1"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</row>
    <row r="776" ht="19.5" customHeight="1"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</row>
    <row r="777" ht="19.5" customHeight="1"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</row>
    <row r="778" ht="19.5" customHeight="1"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</row>
    <row r="779" ht="19.5" customHeight="1"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</row>
    <row r="780" ht="19.5" customHeight="1"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</row>
    <row r="781" ht="19.5" customHeight="1"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</row>
    <row r="782" ht="19.5" customHeight="1"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</row>
    <row r="783" ht="19.5" customHeight="1"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</row>
    <row r="784" ht="19.5" customHeight="1"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</row>
    <row r="785" ht="19.5" customHeight="1"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</row>
    <row r="786" ht="19.5" customHeight="1"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</row>
    <row r="787" ht="19.5" customHeight="1"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</row>
    <row r="788" ht="19.5" customHeight="1"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</row>
    <row r="789" ht="19.5" customHeight="1"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</row>
    <row r="790" ht="19.5" customHeight="1"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</row>
    <row r="791" ht="19.5" customHeight="1"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</row>
    <row r="792" ht="19.5" customHeight="1"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</row>
    <row r="793" ht="19.5" customHeight="1"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</row>
    <row r="794" ht="19.5" customHeight="1"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</row>
    <row r="795" ht="19.5" customHeight="1"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</row>
    <row r="796" ht="19.5" customHeight="1"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</row>
    <row r="797" ht="19.5" customHeight="1"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</row>
    <row r="798" ht="19.5" customHeight="1"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</row>
    <row r="799" ht="19.5" customHeight="1"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</row>
    <row r="800" ht="19.5" customHeight="1"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</row>
    <row r="801" ht="19.5" customHeight="1"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</row>
    <row r="802" ht="19.5" customHeight="1"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</row>
    <row r="803" ht="19.5" customHeight="1"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</row>
    <row r="804" ht="19.5" customHeight="1"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</row>
    <row r="805" ht="19.5" customHeight="1"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</row>
    <row r="806" ht="19.5" customHeight="1"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</row>
    <row r="807" ht="19.5" customHeight="1"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</row>
    <row r="808" ht="19.5" customHeight="1"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</row>
    <row r="809" ht="19.5" customHeight="1"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</row>
    <row r="810" ht="19.5" customHeight="1"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</row>
    <row r="811" ht="19.5" customHeight="1"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</row>
    <row r="812" ht="19.5" customHeight="1"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</row>
    <row r="813" ht="19.5" customHeight="1"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</row>
    <row r="814" ht="19.5" customHeight="1"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</row>
    <row r="815" ht="19.5" customHeight="1"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</row>
    <row r="816" ht="19.5" customHeight="1"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</row>
    <row r="817" ht="19.5" customHeight="1"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</row>
    <row r="818" ht="19.5" customHeight="1"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</row>
    <row r="819" ht="19.5" customHeight="1"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</row>
    <row r="820" ht="19.5" customHeight="1"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</row>
    <row r="821" ht="19.5" customHeight="1"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</row>
    <row r="822" ht="19.5" customHeight="1"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</row>
    <row r="823" ht="19.5" customHeight="1"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</row>
    <row r="824" ht="19.5" customHeight="1"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</row>
    <row r="825" ht="19.5" customHeight="1"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</row>
    <row r="826" ht="19.5" customHeight="1"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</row>
    <row r="827" ht="19.5" customHeight="1"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</row>
    <row r="828" ht="19.5" customHeight="1"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</row>
    <row r="829" ht="19.5" customHeight="1"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</row>
    <row r="830" ht="19.5" customHeight="1"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</row>
    <row r="831" ht="19.5" customHeight="1"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</row>
    <row r="832" ht="19.5" customHeight="1"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</row>
    <row r="833" ht="19.5" customHeight="1"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</row>
    <row r="834" ht="19.5" customHeight="1"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</row>
    <row r="835" ht="19.5" customHeight="1"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</row>
    <row r="836" ht="19.5" customHeight="1"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</row>
    <row r="837" ht="19.5" customHeight="1"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</row>
    <row r="838" ht="19.5" customHeight="1"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</row>
    <row r="839" ht="19.5" customHeight="1"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</row>
    <row r="840" ht="19.5" customHeight="1"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</row>
    <row r="841" ht="19.5" customHeight="1"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</row>
    <row r="842" ht="19.5" customHeight="1"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</row>
    <row r="843" ht="19.5" customHeight="1"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</row>
    <row r="844" ht="19.5" customHeight="1"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</row>
    <row r="845" ht="19.5" customHeight="1"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</row>
    <row r="846" ht="19.5" customHeight="1"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</row>
    <row r="847" ht="19.5" customHeight="1"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</row>
    <row r="848" ht="19.5" customHeight="1"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</row>
    <row r="849" ht="19.5" customHeight="1"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</row>
    <row r="850" ht="19.5" customHeight="1"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</row>
    <row r="851" ht="19.5" customHeight="1"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</row>
    <row r="852" ht="19.5" customHeight="1"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</row>
    <row r="853" ht="19.5" customHeight="1"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</row>
    <row r="854" ht="19.5" customHeight="1"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</row>
    <row r="855" ht="19.5" customHeight="1"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</row>
    <row r="856" ht="19.5" customHeight="1"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</row>
    <row r="857" ht="19.5" customHeight="1"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</row>
    <row r="858" ht="19.5" customHeight="1"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</row>
    <row r="859" ht="19.5" customHeight="1"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</row>
    <row r="860" ht="19.5" customHeight="1"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</row>
    <row r="861" ht="19.5" customHeight="1"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</row>
    <row r="862" ht="19.5" customHeight="1"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</row>
    <row r="863" ht="19.5" customHeight="1"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</row>
    <row r="864" ht="19.5" customHeight="1"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</row>
    <row r="865" ht="19.5" customHeight="1"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</row>
    <row r="866" ht="19.5" customHeight="1"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</row>
    <row r="867" ht="19.5" customHeight="1"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</row>
    <row r="868" ht="19.5" customHeight="1"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</row>
    <row r="869" ht="19.5" customHeight="1"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</row>
    <row r="870" ht="19.5" customHeight="1"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</row>
    <row r="871" ht="19.5" customHeight="1"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</row>
    <row r="872" ht="19.5" customHeight="1"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</row>
    <row r="873" ht="19.5" customHeight="1"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</row>
    <row r="874" ht="19.5" customHeight="1"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</row>
    <row r="875" ht="19.5" customHeight="1"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</row>
    <row r="876" ht="19.5" customHeight="1"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</row>
    <row r="877" ht="19.5" customHeight="1"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</row>
    <row r="878" ht="19.5" customHeight="1"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</row>
    <row r="879" ht="19.5" customHeight="1"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</row>
    <row r="880" ht="19.5" customHeight="1"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</row>
    <row r="881" ht="19.5" customHeight="1"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</row>
    <row r="882" ht="19.5" customHeight="1"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</row>
    <row r="883" ht="19.5" customHeight="1"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</row>
    <row r="884" ht="19.5" customHeight="1"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</row>
    <row r="885" ht="19.5" customHeight="1"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</row>
    <row r="886" ht="19.5" customHeight="1"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</row>
    <row r="887" ht="19.5" customHeight="1"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</row>
    <row r="888" ht="19.5" customHeight="1"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</row>
    <row r="889" ht="19.5" customHeight="1"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</row>
    <row r="890" ht="19.5" customHeight="1"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</row>
    <row r="891" ht="19.5" customHeight="1"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</row>
    <row r="892" ht="19.5" customHeight="1"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</row>
    <row r="893" ht="19.5" customHeight="1"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</row>
    <row r="894" ht="19.5" customHeight="1"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</row>
    <row r="895" ht="19.5" customHeight="1"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</row>
    <row r="896" ht="19.5" customHeight="1"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</row>
    <row r="897" ht="19.5" customHeight="1"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</row>
    <row r="898" ht="19.5" customHeight="1"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</row>
    <row r="899" ht="19.5" customHeight="1"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</row>
    <row r="900" ht="19.5" customHeight="1"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</row>
    <row r="901" ht="19.5" customHeight="1"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</row>
    <row r="902" ht="19.5" customHeight="1"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</row>
    <row r="903" ht="19.5" customHeight="1"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</row>
    <row r="904" ht="19.5" customHeight="1"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</row>
    <row r="905" ht="19.5" customHeight="1"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</row>
    <row r="906" ht="19.5" customHeight="1"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</row>
    <row r="907" ht="19.5" customHeight="1"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</row>
    <row r="908" ht="19.5" customHeight="1"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</row>
    <row r="909" ht="19.5" customHeight="1"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</row>
    <row r="910" ht="19.5" customHeight="1"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</row>
    <row r="911" ht="19.5" customHeight="1"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</row>
    <row r="912" ht="19.5" customHeight="1"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</row>
    <row r="913" ht="19.5" customHeight="1"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</row>
    <row r="914" ht="19.5" customHeight="1"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</row>
    <row r="915" ht="19.5" customHeight="1"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</row>
    <row r="916" ht="19.5" customHeight="1"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</row>
    <row r="917" ht="19.5" customHeight="1"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</row>
    <row r="918" ht="19.5" customHeight="1"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</row>
    <row r="919" ht="19.5" customHeight="1"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</row>
    <row r="920" ht="19.5" customHeight="1"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</row>
    <row r="921" ht="19.5" customHeight="1"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</row>
    <row r="922" ht="19.5" customHeight="1"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</row>
    <row r="923" ht="19.5" customHeight="1"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</row>
    <row r="924" ht="19.5" customHeight="1"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</row>
    <row r="925" ht="19.5" customHeight="1"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</row>
    <row r="926" ht="19.5" customHeight="1"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</row>
    <row r="927" ht="19.5" customHeight="1"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</row>
    <row r="928" ht="19.5" customHeight="1"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</row>
    <row r="929" ht="19.5" customHeight="1"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</row>
    <row r="930" ht="19.5" customHeight="1"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</row>
    <row r="931" ht="19.5" customHeight="1"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</row>
    <row r="932" ht="19.5" customHeight="1"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</row>
    <row r="933" ht="19.5" customHeight="1"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</row>
    <row r="934" ht="19.5" customHeight="1"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</row>
    <row r="935" ht="19.5" customHeight="1"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</row>
    <row r="936" ht="19.5" customHeight="1"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</row>
    <row r="937" ht="19.5" customHeight="1"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</row>
    <row r="938" ht="19.5" customHeight="1"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</row>
    <row r="939" ht="19.5" customHeight="1"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</row>
    <row r="940" ht="19.5" customHeight="1"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</row>
    <row r="941" ht="19.5" customHeight="1"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</row>
    <row r="942" ht="19.5" customHeight="1"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</row>
    <row r="943" ht="19.5" customHeight="1"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</row>
    <row r="944" ht="19.5" customHeight="1"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</row>
    <row r="945" ht="19.5" customHeight="1"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</row>
    <row r="946" ht="19.5" customHeight="1"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</row>
    <row r="947" ht="19.5" customHeight="1"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</row>
    <row r="948" ht="19.5" customHeight="1"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</row>
    <row r="949" ht="19.5" customHeight="1"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</row>
    <row r="950" ht="19.5" customHeight="1"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</row>
    <row r="951" ht="19.5" customHeight="1"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</row>
    <row r="952" ht="19.5" customHeight="1"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</row>
    <row r="953" ht="19.5" customHeight="1"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</row>
    <row r="954" ht="19.5" customHeight="1"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</row>
    <row r="955" ht="19.5" customHeight="1"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</row>
    <row r="956" ht="19.5" customHeight="1"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</row>
    <row r="957" ht="19.5" customHeight="1"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</row>
    <row r="958" ht="19.5" customHeight="1"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</row>
    <row r="959" ht="19.5" customHeight="1"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</row>
    <row r="960" ht="19.5" customHeight="1"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</row>
    <row r="961" ht="19.5" customHeight="1"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</row>
    <row r="962" ht="19.5" customHeight="1"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</row>
    <row r="963" ht="19.5" customHeight="1"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</row>
    <row r="964" ht="19.5" customHeight="1"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</row>
    <row r="965" ht="19.5" customHeight="1"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</row>
    <row r="966" ht="19.5" customHeight="1"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</row>
    <row r="967" ht="19.5" customHeight="1"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</row>
    <row r="968" ht="19.5" customHeight="1"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</row>
    <row r="969" ht="19.5" customHeight="1"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</row>
    <row r="970" ht="19.5" customHeight="1"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</row>
    <row r="971" ht="19.5" customHeight="1"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</row>
    <row r="972" ht="19.5" customHeight="1"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</row>
    <row r="973" ht="19.5" customHeight="1"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</row>
    <row r="974" ht="19.5" customHeight="1"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</row>
    <row r="975" ht="19.5" customHeight="1"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</row>
    <row r="976" ht="19.5" customHeight="1"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</row>
    <row r="977" ht="19.5" customHeight="1"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</row>
    <row r="978" ht="19.5" customHeight="1"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</row>
    <row r="979" ht="19.5" customHeight="1"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</row>
    <row r="980" ht="19.5" customHeight="1"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</row>
    <row r="981" ht="19.5" customHeight="1"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</row>
    <row r="982" ht="19.5" customHeight="1"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</row>
    <row r="983" ht="19.5" customHeight="1"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</row>
    <row r="984" ht="19.5" customHeight="1"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</row>
    <row r="985" ht="19.5" customHeight="1"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</row>
    <row r="986" ht="19.5" customHeight="1"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</row>
    <row r="987" ht="19.5" customHeight="1"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</row>
    <row r="988" ht="19.5" customHeight="1"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</row>
    <row r="989" ht="19.5" customHeight="1"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</row>
    <row r="990" ht="19.5" customHeight="1"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</row>
    <row r="991" ht="19.5" customHeight="1"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</row>
    <row r="992" ht="19.5" customHeight="1"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</row>
    <row r="993" ht="19.5" customHeight="1"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</row>
    <row r="994" ht="19.5" customHeight="1"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</row>
    <row r="995" ht="19.5" customHeight="1"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</row>
    <row r="996" ht="19.5" customHeight="1"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</row>
    <row r="997" ht="19.5" customHeight="1"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</row>
    <row r="998" ht="19.5" customHeight="1"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</row>
    <row r="999" ht="19.5" customHeight="1"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</row>
    <row r="1000" ht="19.5" customHeight="1"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</row>
  </sheetData>
  <mergeCells count="14">
    <mergeCell ref="D5:F5"/>
    <mergeCell ref="G5:I5"/>
    <mergeCell ref="J5:L5"/>
    <mergeCell ref="M5:O5"/>
    <mergeCell ref="P5:R5"/>
    <mergeCell ref="S5:U5"/>
    <mergeCell ref="A1:X1"/>
    <mergeCell ref="A2:X2"/>
    <mergeCell ref="A3:X3"/>
    <mergeCell ref="A4:X4"/>
    <mergeCell ref="A5:A6"/>
    <mergeCell ref="B5:B6"/>
    <mergeCell ref="C5:C6"/>
    <mergeCell ref="V5:X5"/>
  </mergeCells>
  <conditionalFormatting sqref="D7:V56">
    <cfRule type="cellIs" dxfId="2" priority="1" operator="lessThan">
      <formula>14</formula>
    </cfRule>
  </conditionalFormatting>
  <printOptions/>
  <pageMargins bottom="1.0" footer="0.0" header="0.0" left="1.0" right="1.0" top="1.0"/>
  <pageSetup paperSize="9" scale="6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5.25"/>
    <col customWidth="1" min="3" max="3" width="21.5"/>
    <col customWidth="1" min="4" max="4" width="8.5"/>
    <col customWidth="1" min="5" max="5" width="8.88"/>
    <col customWidth="1" min="6" max="6" width="9.13"/>
    <col customWidth="1" min="7" max="8" width="7.63"/>
    <col customWidth="1" min="9" max="9" width="8.75"/>
    <col customWidth="1" min="10" max="10" width="7.5"/>
    <col customWidth="1" min="11" max="26" width="8.63"/>
  </cols>
  <sheetData>
    <row r="1" ht="12.75" customHeight="1">
      <c r="A1" s="87" t="s">
        <v>120</v>
      </c>
      <c r="B1" s="6"/>
      <c r="C1" s="6"/>
      <c r="D1" s="6"/>
      <c r="E1" s="6"/>
      <c r="F1" s="6"/>
      <c r="G1" s="6"/>
      <c r="H1" s="6"/>
      <c r="I1" s="6"/>
      <c r="J1" s="7"/>
    </row>
    <row r="2" ht="12.75" customHeight="1">
      <c r="A2" s="88" t="s">
        <v>1</v>
      </c>
      <c r="B2" s="6"/>
      <c r="C2" s="6"/>
      <c r="D2" s="6"/>
      <c r="E2" s="6"/>
      <c r="F2" s="6"/>
      <c r="G2" s="6"/>
      <c r="H2" s="6"/>
      <c r="I2" s="6"/>
      <c r="J2" s="7"/>
    </row>
    <row r="3" ht="12.75" customHeight="1">
      <c r="A3" s="88" t="s">
        <v>152</v>
      </c>
      <c r="B3" s="6"/>
      <c r="C3" s="6"/>
      <c r="D3" s="6"/>
      <c r="E3" s="6"/>
      <c r="F3" s="6"/>
      <c r="G3" s="6"/>
      <c r="H3" s="6"/>
      <c r="I3" s="6"/>
      <c r="J3" s="7"/>
    </row>
    <row r="4" ht="12.75" customHeight="1">
      <c r="A4" s="89" t="s">
        <v>3</v>
      </c>
      <c r="B4" s="6"/>
      <c r="C4" s="6"/>
      <c r="D4" s="6"/>
      <c r="E4" s="6"/>
      <c r="F4" s="6"/>
      <c r="G4" s="6"/>
      <c r="H4" s="6"/>
      <c r="I4" s="6"/>
      <c r="J4" s="7"/>
    </row>
    <row r="5" ht="14.25" customHeight="1">
      <c r="A5" s="90" t="s">
        <v>4</v>
      </c>
      <c r="B5" s="90" t="s">
        <v>5</v>
      </c>
      <c r="C5" s="90" t="s">
        <v>6</v>
      </c>
      <c r="D5" s="91" t="s">
        <v>122</v>
      </c>
      <c r="E5" s="92" t="s">
        <v>123</v>
      </c>
      <c r="F5" s="92" t="s">
        <v>9</v>
      </c>
      <c r="G5" s="92" t="s">
        <v>10</v>
      </c>
      <c r="H5" s="92" t="s">
        <v>11</v>
      </c>
      <c r="I5" s="92" t="s">
        <v>12</v>
      </c>
      <c r="J5" s="91" t="s">
        <v>153</v>
      </c>
    </row>
    <row r="6" ht="13.5" customHeight="1">
      <c r="A6" s="16">
        <v>1.0</v>
      </c>
      <c r="B6" s="16" t="s">
        <v>20</v>
      </c>
      <c r="C6" s="38" t="s">
        <v>125</v>
      </c>
      <c r="D6" s="93">
        <f>'ATTENDANCE MARKS'!E6+'CIA '!D6+'CIA '!E6+Test!F7</f>
        <v>4.5</v>
      </c>
      <c r="E6" s="94">
        <f>'ATTENDANCE MARKS'!G6+'CIA '!F6+'CIA '!G6+Test!I7</f>
        <v>10.875</v>
      </c>
      <c r="F6" s="94">
        <f>'ATTENDANCE MARKS'!I6+'CIA '!H6+'CIA '!I6+Test!L7</f>
        <v>7.125</v>
      </c>
      <c r="G6" s="94">
        <f>'ATTENDANCE MARKS'!K6+'CIA '!J6+'CIA '!K6+Test!O7</f>
        <v>8.625</v>
      </c>
      <c r="H6" s="94">
        <f>'ATTENDANCE MARKS'!M6+'CIA '!L6+'CIA '!M6+Test!R7</f>
        <v>7.5</v>
      </c>
      <c r="I6" s="94">
        <f>'ATTENDANCE MARKS'!O6+'CIA '!N6+'CIA '!O6+Test!U7</f>
        <v>11.375</v>
      </c>
      <c r="J6" s="94">
        <f>'ATTENDANCE MARKS'!Q6+'CIA '!P6+'CIA '!Q6+Test!X7</f>
        <v>8.833333333</v>
      </c>
    </row>
    <row r="7" ht="12.75" customHeight="1">
      <c r="A7" s="23">
        <v>2.0</v>
      </c>
      <c r="B7" s="24" t="s">
        <v>22</v>
      </c>
      <c r="C7" s="25" t="s">
        <v>23</v>
      </c>
      <c r="D7" s="93">
        <f>'ATTENDANCE MARKS'!E7+'CIA '!D7+'CIA '!E7+Test!F8</f>
        <v>6.875</v>
      </c>
      <c r="E7" s="94">
        <f>'ATTENDANCE MARKS'!G7+'CIA '!F7+'CIA '!G7+Test!I8</f>
        <v>7.125</v>
      </c>
      <c r="F7" s="94">
        <f>'ATTENDANCE MARKS'!I7+'CIA '!H7+'CIA '!I7+Test!L8</f>
        <v>5.5</v>
      </c>
      <c r="G7" s="94">
        <f>'ATTENDANCE MARKS'!K7+'CIA '!J7+'CIA '!K7+Test!O8</f>
        <v>4.5</v>
      </c>
      <c r="H7" s="94">
        <f>'ATTENDANCE MARKS'!M7+'CIA '!L7+'CIA '!M7+Test!R8</f>
        <v>4.5</v>
      </c>
      <c r="I7" s="94">
        <f>'ATTENDANCE MARKS'!O7+'CIA '!N7+'CIA '!O7+Test!U8</f>
        <v>4.5</v>
      </c>
      <c r="J7" s="94">
        <f>'ATTENDANCE MARKS'!Q7+'CIA '!P7+'CIA '!Q7+Test!X8</f>
        <v>7</v>
      </c>
    </row>
    <row r="8" ht="12.75" customHeight="1">
      <c r="A8" s="23">
        <v>3.0</v>
      </c>
      <c r="B8" s="24" t="s">
        <v>24</v>
      </c>
      <c r="C8" s="25" t="s">
        <v>25</v>
      </c>
      <c r="D8" s="93">
        <f>'ATTENDANCE MARKS'!E8+'CIA '!D8+'CIA '!E8+Test!F9</f>
        <v>5.25</v>
      </c>
      <c r="E8" s="94">
        <f>'ATTENDANCE MARKS'!G8+'CIA '!F8+'CIA '!G8+Test!I9</f>
        <v>9.125</v>
      </c>
      <c r="F8" s="94">
        <f>'ATTENDANCE MARKS'!I8+'CIA '!H8+'CIA '!I8+Test!L9</f>
        <v>9</v>
      </c>
      <c r="G8" s="94">
        <f>'ATTENDANCE MARKS'!K8+'CIA '!J8+'CIA '!K8+Test!O9</f>
        <v>9.5</v>
      </c>
      <c r="H8" s="94">
        <f>'ATTENDANCE MARKS'!M8+'CIA '!L8+'CIA '!M8+Test!R9</f>
        <v>8.625</v>
      </c>
      <c r="I8" s="94">
        <f>'ATTENDANCE MARKS'!O8+'CIA '!N8+'CIA '!O8+Test!U9</f>
        <v>9.75</v>
      </c>
      <c r="J8" s="94">
        <f>'ATTENDANCE MARKS'!Q8+'CIA '!P8+'CIA '!Q8+Test!X9</f>
        <v>8.666666667</v>
      </c>
    </row>
    <row r="9" ht="12.75" customHeight="1">
      <c r="A9" s="23">
        <v>4.0</v>
      </c>
      <c r="B9" s="24" t="s">
        <v>26</v>
      </c>
      <c r="C9" s="25" t="s">
        <v>27</v>
      </c>
      <c r="D9" s="93">
        <f>'ATTENDANCE MARKS'!E9+'CIA '!D9+'CIA '!E9+Test!F10</f>
        <v>10.375</v>
      </c>
      <c r="E9" s="94">
        <f>'ATTENDANCE MARKS'!G9+'CIA '!F9+'CIA '!G9+Test!I10</f>
        <v>11.625</v>
      </c>
      <c r="F9" s="94">
        <f>'ATTENDANCE MARKS'!I9+'CIA '!H9+'CIA '!I9+Test!L10</f>
        <v>10.75</v>
      </c>
      <c r="G9" s="94">
        <f>'ATTENDANCE MARKS'!K9+'CIA '!J9+'CIA '!K9+Test!O10</f>
        <v>12.25</v>
      </c>
      <c r="H9" s="94">
        <f>'ATTENDANCE MARKS'!M9+'CIA '!L9+'CIA '!M9+Test!R10</f>
        <v>9.75</v>
      </c>
      <c r="I9" s="94">
        <f>'ATTENDANCE MARKS'!O9+'CIA '!N9+'CIA '!O9+Test!U10</f>
        <v>12.5</v>
      </c>
      <c r="J9" s="94">
        <f>'ATTENDANCE MARKS'!Q9+'CIA '!P9+'CIA '!Q9+Test!X10</f>
        <v>10.5</v>
      </c>
    </row>
    <row r="10" ht="12.75" customHeight="1">
      <c r="A10" s="23">
        <v>5.0</v>
      </c>
      <c r="B10" s="24" t="s">
        <v>28</v>
      </c>
      <c r="C10" s="25" t="s">
        <v>29</v>
      </c>
      <c r="D10" s="93">
        <f>'ATTENDANCE MARKS'!E10+'CIA '!D10+'CIA '!E10+Test!F11</f>
        <v>8.625</v>
      </c>
      <c r="E10" s="94">
        <f>'ATTENDANCE MARKS'!G10+'CIA '!F10+'CIA '!G10+Test!I11</f>
        <v>7.75</v>
      </c>
      <c r="F10" s="94">
        <f>'ATTENDANCE MARKS'!I10+'CIA '!H10+'CIA '!I10+Test!L11</f>
        <v>9</v>
      </c>
      <c r="G10" s="94">
        <f>'ATTENDANCE MARKS'!K10+'CIA '!J10+'CIA '!K10+Test!O11</f>
        <v>9.5</v>
      </c>
      <c r="H10" s="94">
        <f>'ATTENDANCE MARKS'!M10+'CIA '!L10+'CIA '!M10+Test!R11</f>
        <v>5.375</v>
      </c>
      <c r="I10" s="94">
        <f>'ATTENDANCE MARKS'!O10+'CIA '!N10+'CIA '!O10+Test!U11</f>
        <v>7.5</v>
      </c>
      <c r="J10" s="94">
        <f>'ATTENDANCE MARKS'!Q10+'CIA '!P10+'CIA '!Q10+Test!X11</f>
        <v>10.66666667</v>
      </c>
    </row>
    <row r="11" ht="12.75" customHeight="1">
      <c r="A11" s="23">
        <v>6.0</v>
      </c>
      <c r="B11" s="24" t="s">
        <v>30</v>
      </c>
      <c r="C11" s="25" t="s">
        <v>31</v>
      </c>
      <c r="D11" s="93">
        <f>'ATTENDANCE MARKS'!E11+'CIA '!D11+'CIA '!E11+Test!F12</f>
        <v>6.5</v>
      </c>
      <c r="E11" s="94">
        <f>'ATTENDANCE MARKS'!G11+'CIA '!F11+'CIA '!G11+Test!I12</f>
        <v>9.875</v>
      </c>
      <c r="F11" s="94">
        <f>'ATTENDANCE MARKS'!I11+'CIA '!H11+'CIA '!I11+Test!L12</f>
        <v>8.5</v>
      </c>
      <c r="G11" s="94">
        <f>'ATTENDANCE MARKS'!K11+'CIA '!J11+'CIA '!K11+Test!O12</f>
        <v>9.25</v>
      </c>
      <c r="H11" s="94">
        <f>'ATTENDANCE MARKS'!M11+'CIA '!L11+'CIA '!M11+Test!R12</f>
        <v>7.625</v>
      </c>
      <c r="I11" s="94">
        <f>'ATTENDANCE MARKS'!O11+'CIA '!N11+'CIA '!O11+Test!U12</f>
        <v>9.625</v>
      </c>
      <c r="J11" s="94">
        <f>'ATTENDANCE MARKS'!Q11+'CIA '!P11+'CIA '!Q11+Test!X12</f>
        <v>8.5</v>
      </c>
    </row>
    <row r="12" ht="12.75" customHeight="1">
      <c r="A12" s="23">
        <v>7.0</v>
      </c>
      <c r="B12" s="24" t="s">
        <v>32</v>
      </c>
      <c r="C12" s="25" t="s">
        <v>33</v>
      </c>
      <c r="D12" s="93">
        <f>'ATTENDANCE MARKS'!E12+'CIA '!D12+'CIA '!E12+Test!F13</f>
        <v>5.125</v>
      </c>
      <c r="E12" s="94">
        <f>'ATTENDANCE MARKS'!G12+'CIA '!F12+'CIA '!G12+Test!I13</f>
        <v>8.875</v>
      </c>
      <c r="F12" s="94">
        <f>'ATTENDANCE MARKS'!I12+'CIA '!H12+'CIA '!I12+Test!L13</f>
        <v>9</v>
      </c>
      <c r="G12" s="94">
        <f>'ATTENDANCE MARKS'!K12+'CIA '!J12+'CIA '!K12+Test!O13</f>
        <v>10.5</v>
      </c>
      <c r="H12" s="94">
        <f>'ATTENDANCE MARKS'!M12+'CIA '!L12+'CIA '!M12+Test!R13</f>
        <v>8.625</v>
      </c>
      <c r="I12" s="94">
        <f>'ATTENDANCE MARKS'!O12+'CIA '!N12+'CIA '!O12+Test!U13</f>
        <v>11.25</v>
      </c>
      <c r="J12" s="94">
        <f>'ATTENDANCE MARKS'!Q12+'CIA '!P12+'CIA '!Q12+Test!X13</f>
        <v>9.333333333</v>
      </c>
    </row>
    <row r="13" ht="12.75" customHeight="1">
      <c r="A13" s="23">
        <v>8.0</v>
      </c>
      <c r="B13" s="24" t="s">
        <v>34</v>
      </c>
      <c r="C13" s="25" t="s">
        <v>35</v>
      </c>
      <c r="D13" s="93">
        <f>'ATTENDANCE MARKS'!E13+'CIA '!D13+'CIA '!E13+Test!F14</f>
        <v>4.875</v>
      </c>
      <c r="E13" s="94">
        <f>'ATTENDANCE MARKS'!G13+'CIA '!F13+'CIA '!G13+Test!I14</f>
        <v>7.375</v>
      </c>
      <c r="F13" s="94">
        <f>'ATTENDANCE MARKS'!I13+'CIA '!H13+'CIA '!I13+Test!L14</f>
        <v>6.5</v>
      </c>
      <c r="G13" s="94">
        <f>'ATTENDANCE MARKS'!K13+'CIA '!J13+'CIA '!K13+Test!O14</f>
        <v>7.375</v>
      </c>
      <c r="H13" s="94">
        <f>'ATTENDANCE MARKS'!M13+'CIA '!L13+'CIA '!M13+Test!R14</f>
        <v>4.375</v>
      </c>
      <c r="I13" s="94">
        <f>'ATTENDANCE MARKS'!O13+'CIA '!N13+'CIA '!O13+Test!U14</f>
        <v>6.5</v>
      </c>
      <c r="J13" s="94">
        <f>'ATTENDANCE MARKS'!Q13+'CIA '!P13+'CIA '!Q13+Test!X14</f>
        <v>8.5</v>
      </c>
    </row>
    <row r="14" ht="12.75" customHeight="1">
      <c r="A14" s="23">
        <v>9.0</v>
      </c>
      <c r="B14" s="24" t="s">
        <v>36</v>
      </c>
      <c r="C14" s="25" t="s">
        <v>37</v>
      </c>
      <c r="D14" s="93">
        <f>'ATTENDANCE MARKS'!E14+'CIA '!D14+'CIA '!E14+Test!F15</f>
        <v>7</v>
      </c>
      <c r="E14" s="94">
        <f>'ATTENDANCE MARKS'!G14+'CIA '!F14+'CIA '!G14+Test!I15</f>
        <v>6.25</v>
      </c>
      <c r="F14" s="94">
        <f>'ATTENDANCE MARKS'!I14+'CIA '!H14+'CIA '!I14+Test!L15</f>
        <v>5.875</v>
      </c>
      <c r="G14" s="94">
        <f>'ATTENDANCE MARKS'!K14+'CIA '!J14+'CIA '!K14+Test!O15</f>
        <v>6.375</v>
      </c>
      <c r="H14" s="94">
        <f>'ATTENDANCE MARKS'!M14+'CIA '!L14+'CIA '!M14+Test!R15</f>
        <v>6.25</v>
      </c>
      <c r="I14" s="94">
        <f>'ATTENDANCE MARKS'!O14+'CIA '!N14+'CIA '!O14+Test!U15</f>
        <v>8.25</v>
      </c>
      <c r="J14" s="94">
        <f>'ATTENDANCE MARKS'!Q14+'CIA '!P14+'CIA '!Q14+Test!X15</f>
        <v>5.5</v>
      </c>
    </row>
    <row r="15" ht="12.75" customHeight="1">
      <c r="A15" s="23">
        <v>10.0</v>
      </c>
      <c r="B15" s="24" t="s">
        <v>38</v>
      </c>
      <c r="C15" s="25" t="s">
        <v>39</v>
      </c>
      <c r="D15" s="93">
        <f>'ATTENDANCE MARKS'!E15+'CIA '!D15+'CIA '!E15+Test!F16</f>
        <v>6.75</v>
      </c>
      <c r="E15" s="94">
        <f>'ATTENDANCE MARKS'!G15+'CIA '!F15+'CIA '!G15+Test!I16</f>
        <v>10.125</v>
      </c>
      <c r="F15" s="94">
        <f>'ATTENDANCE MARKS'!I15+'CIA '!H15+'CIA '!I15+Test!L16</f>
        <v>9</v>
      </c>
      <c r="G15" s="94">
        <f>'ATTENDANCE MARKS'!K15+'CIA '!J15+'CIA '!K15+Test!O16</f>
        <v>8.625</v>
      </c>
      <c r="H15" s="94">
        <f>'ATTENDANCE MARKS'!M15+'CIA '!L15+'CIA '!M15+Test!R16</f>
        <v>7.75</v>
      </c>
      <c r="I15" s="94">
        <f>'ATTENDANCE MARKS'!O15+'CIA '!N15+'CIA '!O15+Test!U16</f>
        <v>11.375</v>
      </c>
      <c r="J15" s="94">
        <f>'ATTENDANCE MARKS'!Q15+'CIA '!P15+'CIA '!Q15+Test!X16</f>
        <v>7.166666667</v>
      </c>
    </row>
    <row r="16" ht="12.75" customHeight="1">
      <c r="A16" s="23">
        <v>11.0</v>
      </c>
      <c r="B16" s="24" t="s">
        <v>40</v>
      </c>
      <c r="C16" s="25" t="s">
        <v>41</v>
      </c>
      <c r="D16" s="93">
        <f>'ATTENDANCE MARKS'!E16+'CIA '!D16+'CIA '!E16+Test!F17</f>
        <v>10</v>
      </c>
      <c r="E16" s="94">
        <f>'ATTENDANCE MARKS'!G16+'CIA '!F16+'CIA '!G16+Test!I17</f>
        <v>11.75</v>
      </c>
      <c r="F16" s="94">
        <f>'ATTENDANCE MARKS'!I16+'CIA '!H16+'CIA '!I16+Test!L17</f>
        <v>9</v>
      </c>
      <c r="G16" s="94">
        <f>'ATTENDANCE MARKS'!K16+'CIA '!J16+'CIA '!K16+Test!O17</f>
        <v>11.75</v>
      </c>
      <c r="H16" s="94">
        <f>'ATTENDANCE MARKS'!M16+'CIA '!L16+'CIA '!M16+Test!R17</f>
        <v>10.75</v>
      </c>
      <c r="I16" s="94">
        <f>'ATTENDANCE MARKS'!O16+'CIA '!N16+'CIA '!O16+Test!U17</f>
        <v>11.375</v>
      </c>
      <c r="J16" s="94">
        <f>'ATTENDANCE MARKS'!Q16+'CIA '!P16+'CIA '!Q16+Test!X17</f>
        <v>9.666666667</v>
      </c>
    </row>
    <row r="17" ht="12.75" customHeight="1">
      <c r="A17" s="23">
        <v>12.0</v>
      </c>
      <c r="B17" s="24" t="s">
        <v>42</v>
      </c>
      <c r="C17" s="25" t="s">
        <v>43</v>
      </c>
      <c r="D17" s="93">
        <f>'ATTENDANCE MARKS'!E17+'CIA '!D17+'CIA '!E17+Test!F18</f>
        <v>7.25</v>
      </c>
      <c r="E17" s="94">
        <f>'ATTENDANCE MARKS'!G17+'CIA '!F17+'CIA '!G17+Test!I18</f>
        <v>7.375</v>
      </c>
      <c r="F17" s="94">
        <f>'ATTENDANCE MARKS'!I17+'CIA '!H17+'CIA '!I17+Test!L18</f>
        <v>8.5</v>
      </c>
      <c r="G17" s="94">
        <f>'ATTENDANCE MARKS'!K17+'CIA '!J17+'CIA '!K17+Test!O18</f>
        <v>9.75</v>
      </c>
      <c r="H17" s="94">
        <f>'ATTENDANCE MARKS'!M17+'CIA '!L17+'CIA '!M17+Test!R18</f>
        <v>6.875</v>
      </c>
      <c r="I17" s="94">
        <f>'ATTENDANCE MARKS'!O17+'CIA '!N17+'CIA '!O17+Test!U18</f>
        <v>11.375</v>
      </c>
      <c r="J17" s="94">
        <f>'ATTENDANCE MARKS'!Q17+'CIA '!P17+'CIA '!Q17+Test!X18</f>
        <v>5.166666667</v>
      </c>
    </row>
    <row r="18" ht="12.75" customHeight="1">
      <c r="A18" s="23">
        <v>13.0</v>
      </c>
      <c r="B18" s="24" t="s">
        <v>44</v>
      </c>
      <c r="C18" s="25" t="s">
        <v>45</v>
      </c>
      <c r="D18" s="93">
        <f>'ATTENDANCE MARKS'!E18+'CIA '!D18+'CIA '!E18+Test!F19</f>
        <v>9.125</v>
      </c>
      <c r="E18" s="94">
        <f>'ATTENDANCE MARKS'!G18+'CIA '!F18+'CIA '!G18+Test!I19</f>
        <v>8.875</v>
      </c>
      <c r="F18" s="94">
        <f>'ATTENDANCE MARKS'!I18+'CIA '!H18+'CIA '!I18+Test!L19</f>
        <v>7.5</v>
      </c>
      <c r="G18" s="94">
        <f>'ATTENDANCE MARKS'!K18+'CIA '!J18+'CIA '!K18+Test!O19</f>
        <v>8.75</v>
      </c>
      <c r="H18" s="94">
        <f>'ATTENDANCE MARKS'!M18+'CIA '!L18+'CIA '!M18+Test!R19</f>
        <v>6.375</v>
      </c>
      <c r="I18" s="94">
        <f>'ATTENDANCE MARKS'!O18+'CIA '!N18+'CIA '!O18+Test!U19</f>
        <v>7</v>
      </c>
      <c r="J18" s="94">
        <f>'ATTENDANCE MARKS'!Q18+'CIA '!P18+'CIA '!Q18+Test!X19</f>
        <v>9.5</v>
      </c>
    </row>
    <row r="19" ht="12.75" customHeight="1">
      <c r="A19" s="23">
        <v>14.0</v>
      </c>
      <c r="B19" s="24" t="s">
        <v>46</v>
      </c>
      <c r="C19" s="25" t="s">
        <v>47</v>
      </c>
      <c r="D19" s="93">
        <f>'ATTENDANCE MARKS'!E19+'CIA '!D19+'CIA '!E19+Test!F20</f>
        <v>10.5</v>
      </c>
      <c r="E19" s="94">
        <f>'ATTENDANCE MARKS'!G19+'CIA '!F19+'CIA '!G19+Test!I20</f>
        <v>11.625</v>
      </c>
      <c r="F19" s="94">
        <f>'ATTENDANCE MARKS'!I19+'CIA '!H19+'CIA '!I19+Test!L20</f>
        <v>10.5</v>
      </c>
      <c r="G19" s="94">
        <f>'ATTENDANCE MARKS'!K19+'CIA '!J19+'CIA '!K19+Test!O20</f>
        <v>11.75</v>
      </c>
      <c r="H19" s="94">
        <f>'ATTENDANCE MARKS'!M19+'CIA '!L19+'CIA '!M19+Test!R20</f>
        <v>10.5</v>
      </c>
      <c r="I19" s="94">
        <f>'ATTENDANCE MARKS'!O19+'CIA '!N19+'CIA '!O19+Test!U20</f>
        <v>11.75</v>
      </c>
      <c r="J19" s="94">
        <f>'ATTENDANCE MARKS'!Q19+'CIA '!P19+'CIA '!Q19+Test!X20</f>
        <v>11.16666667</v>
      </c>
    </row>
    <row r="20" ht="12.75" customHeight="1">
      <c r="A20" s="23">
        <v>15.0</v>
      </c>
      <c r="B20" s="24" t="s">
        <v>48</v>
      </c>
      <c r="C20" s="25" t="s">
        <v>49</v>
      </c>
      <c r="D20" s="93">
        <f>'ATTENDANCE MARKS'!E20+'CIA '!D20+'CIA '!E20+Test!F21</f>
        <v>4.5</v>
      </c>
      <c r="E20" s="94">
        <f>'ATTENDANCE MARKS'!G20+'CIA '!F20+'CIA '!G20+Test!I21</f>
        <v>6.5</v>
      </c>
      <c r="F20" s="94">
        <f>'ATTENDANCE MARKS'!I20+'CIA '!H20+'CIA '!I20+Test!L21</f>
        <v>5.375</v>
      </c>
      <c r="G20" s="94">
        <f>'ATTENDANCE MARKS'!K20+'CIA '!J20+'CIA '!K20+Test!O21</f>
        <v>6.75</v>
      </c>
      <c r="H20" s="94">
        <f>'ATTENDANCE MARKS'!M20+'CIA '!L20+'CIA '!M20+Test!R21</f>
        <v>4.125</v>
      </c>
      <c r="I20" s="94">
        <f>'ATTENDANCE MARKS'!O20+'CIA '!N20+'CIA '!O20+Test!U21</f>
        <v>7.875</v>
      </c>
      <c r="J20" s="94">
        <f>'ATTENDANCE MARKS'!Q20+'CIA '!P20+'CIA '!Q20+Test!X21</f>
        <v>6.166666667</v>
      </c>
    </row>
    <row r="21" ht="12.75" customHeight="1">
      <c r="A21" s="23">
        <v>16.0</v>
      </c>
      <c r="B21" s="24" t="s">
        <v>50</v>
      </c>
      <c r="C21" s="25" t="s">
        <v>51</v>
      </c>
      <c r="D21" s="93">
        <f>'ATTENDANCE MARKS'!E21+'CIA '!D21+'CIA '!E21+Test!F22</f>
        <v>6.5</v>
      </c>
      <c r="E21" s="94">
        <f>'ATTENDANCE MARKS'!G21+'CIA '!F21+'CIA '!G21+Test!I22</f>
        <v>8</v>
      </c>
      <c r="F21" s="94">
        <f>'ATTENDANCE MARKS'!I21+'CIA '!H21+'CIA '!I21+Test!L22</f>
        <v>7.125</v>
      </c>
      <c r="G21" s="94">
        <f>'ATTENDANCE MARKS'!K21+'CIA '!J21+'CIA '!K21+Test!O22</f>
        <v>7.875</v>
      </c>
      <c r="H21" s="94">
        <f>'ATTENDANCE MARKS'!M21+'CIA '!L21+'CIA '!M21+Test!R22</f>
        <v>7.125</v>
      </c>
      <c r="I21" s="94">
        <f>'ATTENDANCE MARKS'!O21+'CIA '!N21+'CIA '!O21+Test!U22</f>
        <v>8.5</v>
      </c>
      <c r="J21" s="94">
        <f>'ATTENDANCE MARKS'!Q21+'CIA '!P21+'CIA '!Q21+Test!X22</f>
        <v>7</v>
      </c>
    </row>
    <row r="22" ht="12.75" customHeight="1">
      <c r="A22" s="23">
        <v>17.0</v>
      </c>
      <c r="B22" s="24" t="s">
        <v>52</v>
      </c>
      <c r="C22" s="25" t="s">
        <v>53</v>
      </c>
      <c r="D22" s="93">
        <f>'ATTENDANCE MARKS'!E22+'CIA '!D22+'CIA '!E22+Test!F23</f>
        <v>7.875</v>
      </c>
      <c r="E22" s="94">
        <f>'ATTENDANCE MARKS'!G22+'CIA '!F22+'CIA '!G22+Test!I23</f>
        <v>10.75</v>
      </c>
      <c r="F22" s="94">
        <f>'ATTENDANCE MARKS'!I22+'CIA '!H22+'CIA '!I22+Test!L23</f>
        <v>11</v>
      </c>
      <c r="G22" s="94">
        <f>'ATTENDANCE MARKS'!K22+'CIA '!J22+'CIA '!K22+Test!O23</f>
        <v>10.5</v>
      </c>
      <c r="H22" s="94">
        <f>'ATTENDANCE MARKS'!M22+'CIA '!L22+'CIA '!M22+Test!R23</f>
        <v>7.625</v>
      </c>
      <c r="I22" s="94">
        <f>'ATTENDANCE MARKS'!O22+'CIA '!N22+'CIA '!O22+Test!U23</f>
        <v>8</v>
      </c>
      <c r="J22" s="94">
        <f>'ATTENDANCE MARKS'!Q22+'CIA '!P22+'CIA '!Q22+Test!X23</f>
        <v>10.5</v>
      </c>
    </row>
    <row r="23" ht="12.75" customHeight="1">
      <c r="A23" s="23">
        <v>18.0</v>
      </c>
      <c r="B23" s="24" t="s">
        <v>54</v>
      </c>
      <c r="C23" s="25" t="s">
        <v>55</v>
      </c>
      <c r="D23" s="93">
        <f>'ATTENDANCE MARKS'!E23+'CIA '!D23+'CIA '!E23+Test!F24</f>
        <v>7.25</v>
      </c>
      <c r="E23" s="94">
        <f>'ATTENDANCE MARKS'!G23+'CIA '!F23+'CIA '!G23+Test!I24</f>
        <v>7.75</v>
      </c>
      <c r="F23" s="94">
        <f>'ATTENDANCE MARKS'!I23+'CIA '!H23+'CIA '!I23+Test!L24</f>
        <v>10</v>
      </c>
      <c r="G23" s="94">
        <f>'ATTENDANCE MARKS'!K23+'CIA '!J23+'CIA '!K23+Test!O24</f>
        <v>7.75</v>
      </c>
      <c r="H23" s="94">
        <f>'ATTENDANCE MARKS'!M23+'CIA '!L23+'CIA '!M23+Test!R24</f>
        <v>7</v>
      </c>
      <c r="I23" s="94">
        <f>'ATTENDANCE MARKS'!O23+'CIA '!N23+'CIA '!O23+Test!U24</f>
        <v>8.75</v>
      </c>
      <c r="J23" s="94">
        <f>'ATTENDANCE MARKS'!Q23+'CIA '!P23+'CIA '!Q23+Test!X24</f>
        <v>9.333333333</v>
      </c>
    </row>
    <row r="24" ht="12.75" customHeight="1">
      <c r="A24" s="23">
        <v>19.0</v>
      </c>
      <c r="B24" s="24" t="s">
        <v>56</v>
      </c>
      <c r="C24" s="25" t="s">
        <v>57</v>
      </c>
      <c r="D24" s="93">
        <f>'ATTENDANCE MARKS'!E24+'CIA '!D24+'CIA '!E24+Test!F25</f>
        <v>6</v>
      </c>
      <c r="E24" s="94">
        <f>'ATTENDANCE MARKS'!G24+'CIA '!F24+'CIA '!G24+Test!I25</f>
        <v>9.625</v>
      </c>
      <c r="F24" s="94">
        <f>'ATTENDANCE MARKS'!I24+'CIA '!H24+'CIA '!I24+Test!L25</f>
        <v>8.125</v>
      </c>
      <c r="G24" s="94">
        <f>'ATTENDANCE MARKS'!K24+'CIA '!J24+'CIA '!K24+Test!O25</f>
        <v>6.125</v>
      </c>
      <c r="H24" s="94">
        <f>'ATTENDANCE MARKS'!M24+'CIA '!L24+'CIA '!M24+Test!R25</f>
        <v>4.75</v>
      </c>
      <c r="I24" s="94">
        <f>'ATTENDANCE MARKS'!O24+'CIA '!N24+'CIA '!O24+Test!U25</f>
        <v>8</v>
      </c>
      <c r="J24" s="94">
        <f>'ATTENDANCE MARKS'!Q24+'CIA '!P24+'CIA '!Q24+Test!X25</f>
        <v>8</v>
      </c>
    </row>
    <row r="25" ht="12.75" customHeight="1">
      <c r="A25" s="23">
        <v>20.0</v>
      </c>
      <c r="B25" s="24" t="s">
        <v>58</v>
      </c>
      <c r="C25" s="25" t="s">
        <v>59</v>
      </c>
      <c r="D25" s="93">
        <f>'ATTENDANCE MARKS'!E25+'CIA '!D25+'CIA '!E25+Test!F26</f>
        <v>8.25</v>
      </c>
      <c r="E25" s="94">
        <f>'ATTENDANCE MARKS'!G25+'CIA '!F25+'CIA '!G25+Test!I26</f>
        <v>6.875</v>
      </c>
      <c r="F25" s="94">
        <f>'ATTENDANCE MARKS'!I25+'CIA '!H25+'CIA '!I25+Test!L26</f>
        <v>6.5</v>
      </c>
      <c r="G25" s="94">
        <f>'ATTENDANCE MARKS'!K25+'CIA '!J25+'CIA '!K25+Test!O26</f>
        <v>7.25</v>
      </c>
      <c r="H25" s="94">
        <f>'ATTENDANCE MARKS'!M25+'CIA '!L25+'CIA '!M25+Test!R26</f>
        <v>5</v>
      </c>
      <c r="I25" s="94">
        <f>'ATTENDANCE MARKS'!O25+'CIA '!N25+'CIA '!O25+Test!U26</f>
        <v>5.75</v>
      </c>
      <c r="J25" s="94">
        <f>'ATTENDANCE MARKS'!Q25+'CIA '!P25+'CIA '!Q25+Test!X26</f>
        <v>6.333333333</v>
      </c>
    </row>
    <row r="26" ht="12.75" customHeight="1">
      <c r="A26" s="23">
        <v>21.0</v>
      </c>
      <c r="B26" s="24" t="s">
        <v>60</v>
      </c>
      <c r="C26" s="25" t="s">
        <v>61</v>
      </c>
      <c r="D26" s="93">
        <f>'ATTENDANCE MARKS'!E26+'CIA '!D26+'CIA '!E26+Test!F27</f>
        <v>8.125</v>
      </c>
      <c r="E26" s="94">
        <f>'ATTENDANCE MARKS'!G26+'CIA '!F26+'CIA '!G26+Test!I27</f>
        <v>11.5</v>
      </c>
      <c r="F26" s="94">
        <f>'ATTENDANCE MARKS'!I26+'CIA '!H26+'CIA '!I26+Test!L27</f>
        <v>12</v>
      </c>
      <c r="G26" s="94">
        <f>'ATTENDANCE MARKS'!K26+'CIA '!J26+'CIA '!K26+Test!O27</f>
        <v>10.25</v>
      </c>
      <c r="H26" s="94">
        <f>'ATTENDANCE MARKS'!M26+'CIA '!L26+'CIA '!M26+Test!R27</f>
        <v>6.75</v>
      </c>
      <c r="I26" s="94">
        <f>'ATTENDANCE MARKS'!O26+'CIA '!N26+'CIA '!O26+Test!U27</f>
        <v>12.5</v>
      </c>
      <c r="J26" s="94">
        <f>'ATTENDANCE MARKS'!Q26+'CIA '!P26+'CIA '!Q26+Test!X27</f>
        <v>9.5</v>
      </c>
    </row>
    <row r="27" ht="12.75" customHeight="1">
      <c r="A27" s="23">
        <v>22.0</v>
      </c>
      <c r="B27" s="24" t="s">
        <v>62</v>
      </c>
      <c r="C27" s="25" t="s">
        <v>63</v>
      </c>
      <c r="D27" s="93">
        <f>'ATTENDANCE MARKS'!E27+'CIA '!D27+'CIA '!E27+Test!F28</f>
        <v>8.25</v>
      </c>
      <c r="E27" s="94">
        <f>'ATTENDANCE MARKS'!G27+'CIA '!F27+'CIA '!G27+Test!I28</f>
        <v>8.5</v>
      </c>
      <c r="F27" s="94">
        <f>'ATTENDANCE MARKS'!I27+'CIA '!H27+'CIA '!I27+Test!L28</f>
        <v>8.5</v>
      </c>
      <c r="G27" s="94">
        <f>'ATTENDANCE MARKS'!K27+'CIA '!J27+'CIA '!K27+Test!O28</f>
        <v>8.5</v>
      </c>
      <c r="H27" s="94">
        <f>'ATTENDANCE MARKS'!M27+'CIA '!L27+'CIA '!M27+Test!R28</f>
        <v>7.375</v>
      </c>
      <c r="I27" s="94">
        <f>'ATTENDANCE MARKS'!O27+'CIA '!N27+'CIA '!O27+Test!U28</f>
        <v>8.375</v>
      </c>
      <c r="J27" s="94">
        <f>'ATTENDANCE MARKS'!Q27+'CIA '!P27+'CIA '!Q27+Test!X28</f>
        <v>10</v>
      </c>
    </row>
    <row r="28" ht="12.75" customHeight="1">
      <c r="A28" s="23">
        <v>23.0</v>
      </c>
      <c r="B28" s="24" t="s">
        <v>64</v>
      </c>
      <c r="C28" s="25" t="s">
        <v>65</v>
      </c>
      <c r="D28" s="93">
        <f>'ATTENDANCE MARKS'!E28+'CIA '!D28+'CIA '!E28+Test!F29</f>
        <v>7.625</v>
      </c>
      <c r="E28" s="94">
        <f>'ATTENDANCE MARKS'!G28+'CIA '!F28+'CIA '!G28+Test!I29</f>
        <v>7</v>
      </c>
      <c r="F28" s="94">
        <f>'ATTENDANCE MARKS'!I28+'CIA '!H28+'CIA '!I28+Test!L29</f>
        <v>5.25</v>
      </c>
      <c r="G28" s="94">
        <f>'ATTENDANCE MARKS'!K28+'CIA '!J28+'CIA '!K28+Test!O29</f>
        <v>7.125</v>
      </c>
      <c r="H28" s="94">
        <f>'ATTENDANCE MARKS'!M28+'CIA '!L28+'CIA '!M28+Test!R29</f>
        <v>5.625</v>
      </c>
      <c r="I28" s="94">
        <f>'ATTENDANCE MARKS'!O28+'CIA '!N28+'CIA '!O28+Test!U29</f>
        <v>6.375</v>
      </c>
      <c r="J28" s="94">
        <f>'ATTENDANCE MARKS'!Q28+'CIA '!P28+'CIA '!Q28+Test!X29</f>
        <v>6</v>
      </c>
    </row>
    <row r="29" ht="12.75" customHeight="1">
      <c r="A29" s="23">
        <v>24.0</v>
      </c>
      <c r="B29" s="24" t="s">
        <v>66</v>
      </c>
      <c r="C29" s="25" t="s">
        <v>67</v>
      </c>
      <c r="D29" s="93">
        <f>'ATTENDANCE MARKS'!E29+'CIA '!D29+'CIA '!E29+Test!F30</f>
        <v>5.5</v>
      </c>
      <c r="E29" s="94">
        <f>'ATTENDANCE MARKS'!G29+'CIA '!F29+'CIA '!G29+Test!I30</f>
        <v>2.75</v>
      </c>
      <c r="F29" s="94">
        <f>'ATTENDANCE MARKS'!I29+'CIA '!H29+'CIA '!I29+Test!L30</f>
        <v>4.5</v>
      </c>
      <c r="G29" s="94">
        <f>'ATTENDANCE MARKS'!K29+'CIA '!J29+'CIA '!K29+Test!O30</f>
        <v>7.125</v>
      </c>
      <c r="H29" s="94">
        <f>'ATTENDANCE MARKS'!M29+'CIA '!L29+'CIA '!M29+Test!R30</f>
        <v>4.5</v>
      </c>
      <c r="I29" s="94">
        <f>'ATTENDANCE MARKS'!O29+'CIA '!N29+'CIA '!O29+Test!U30</f>
        <v>6.25</v>
      </c>
      <c r="J29" s="94">
        <f>'ATTENDANCE MARKS'!Q29+'CIA '!P29+'CIA '!Q29+Test!X30</f>
        <v>7.5</v>
      </c>
    </row>
    <row r="30" ht="12.75" customHeight="1">
      <c r="A30" s="23">
        <v>25.0</v>
      </c>
      <c r="B30" s="24" t="s">
        <v>68</v>
      </c>
      <c r="C30" s="25" t="s">
        <v>69</v>
      </c>
      <c r="D30" s="93">
        <f>'ATTENDANCE MARKS'!E30+'CIA '!D30+'CIA '!E30+Test!F31</f>
        <v>5.875</v>
      </c>
      <c r="E30" s="94">
        <f>'ATTENDANCE MARKS'!G30+'CIA '!F30+'CIA '!G30+Test!I31</f>
        <v>7.875</v>
      </c>
      <c r="F30" s="94">
        <f>'ATTENDANCE MARKS'!I30+'CIA '!H30+'CIA '!I30+Test!L31</f>
        <v>9</v>
      </c>
      <c r="G30" s="94">
        <f>'ATTENDANCE MARKS'!K30+'CIA '!J30+'CIA '!K30+Test!O31</f>
        <v>9</v>
      </c>
      <c r="H30" s="94">
        <f>'ATTENDANCE MARKS'!M30+'CIA '!L30+'CIA '!M30+Test!R31</f>
        <v>4.375</v>
      </c>
      <c r="I30" s="94">
        <f>'ATTENDANCE MARKS'!O30+'CIA '!N30+'CIA '!O30+Test!U31</f>
        <v>9.625</v>
      </c>
      <c r="J30" s="94">
        <f>'ATTENDANCE MARKS'!Q30+'CIA '!P30+'CIA '!Q30+Test!X31</f>
        <v>8.666666667</v>
      </c>
    </row>
    <row r="31" ht="12.75" customHeight="1">
      <c r="A31" s="23">
        <v>26.0</v>
      </c>
      <c r="B31" s="24" t="s">
        <v>70</v>
      </c>
      <c r="C31" s="25" t="s">
        <v>71</v>
      </c>
      <c r="D31" s="93">
        <f>'ATTENDANCE MARKS'!E31+'CIA '!D31+'CIA '!E31+Test!F32</f>
        <v>5.375</v>
      </c>
      <c r="E31" s="94">
        <f>'ATTENDANCE MARKS'!G31+'CIA '!F31+'CIA '!G31+Test!I32</f>
        <v>11.375</v>
      </c>
      <c r="F31" s="94">
        <f>'ATTENDANCE MARKS'!I31+'CIA '!H31+'CIA '!I31+Test!L32</f>
        <v>11.25</v>
      </c>
      <c r="G31" s="94">
        <f>'ATTENDANCE MARKS'!K31+'CIA '!J31+'CIA '!K31+Test!O32</f>
        <v>9</v>
      </c>
      <c r="H31" s="94">
        <f>'ATTENDANCE MARKS'!M31+'CIA '!L31+'CIA '!M31+Test!R32</f>
        <v>7.125</v>
      </c>
      <c r="I31" s="94">
        <f>'ATTENDANCE MARKS'!O31+'CIA '!N31+'CIA '!O31+Test!U32</f>
        <v>8.25</v>
      </c>
      <c r="J31" s="94">
        <f>'ATTENDANCE MARKS'!Q31+'CIA '!P31+'CIA '!Q31+Test!X32</f>
        <v>9.166666667</v>
      </c>
    </row>
    <row r="32" ht="12.75" customHeight="1">
      <c r="A32" s="23">
        <v>27.0</v>
      </c>
      <c r="B32" s="24" t="s">
        <v>72</v>
      </c>
      <c r="C32" s="25" t="s">
        <v>73</v>
      </c>
      <c r="D32" s="93">
        <f>'ATTENDANCE MARKS'!E32+'CIA '!D32+'CIA '!E32+Test!F33</f>
        <v>4.25</v>
      </c>
      <c r="E32" s="94">
        <f>'ATTENDANCE MARKS'!G32+'CIA '!F32+'CIA '!G32+Test!I33</f>
        <v>5.375</v>
      </c>
      <c r="F32" s="94">
        <f>'ATTENDANCE MARKS'!I32+'CIA '!H32+'CIA '!I32+Test!L33</f>
        <v>10</v>
      </c>
      <c r="G32" s="94">
        <f>'ATTENDANCE MARKS'!K32+'CIA '!J32+'CIA '!K32+Test!O33</f>
        <v>8.25</v>
      </c>
      <c r="H32" s="94">
        <f>'ATTENDANCE MARKS'!M32+'CIA '!L32+'CIA '!M32+Test!R33</f>
        <v>5.25</v>
      </c>
      <c r="I32" s="94">
        <f>'ATTENDANCE MARKS'!O32+'CIA '!N32+'CIA '!O32+Test!U33</f>
        <v>9.875</v>
      </c>
      <c r="J32" s="94">
        <f>'ATTENDANCE MARKS'!Q32+'CIA '!P32+'CIA '!Q32+Test!X33</f>
        <v>6.333333333</v>
      </c>
    </row>
    <row r="33" ht="12.75" customHeight="1">
      <c r="A33" s="23">
        <v>28.0</v>
      </c>
      <c r="B33" s="24" t="s">
        <v>74</v>
      </c>
      <c r="C33" s="25" t="s">
        <v>75</v>
      </c>
      <c r="D33" s="93">
        <f>'ATTENDANCE MARKS'!E33+'CIA '!D33+'CIA '!E33+Test!F34</f>
        <v>7.375</v>
      </c>
      <c r="E33" s="94">
        <f>'ATTENDANCE MARKS'!G33+'CIA '!F33+'CIA '!G33+Test!I34</f>
        <v>10.875</v>
      </c>
      <c r="F33" s="94">
        <f>'ATTENDANCE MARKS'!I33+'CIA '!H33+'CIA '!I33+Test!L34</f>
        <v>12</v>
      </c>
      <c r="G33" s="94">
        <f>'ATTENDANCE MARKS'!K33+'CIA '!J33+'CIA '!K33+Test!O34</f>
        <v>12.5</v>
      </c>
      <c r="H33" s="94">
        <f>'ATTENDANCE MARKS'!M33+'CIA '!L33+'CIA '!M33+Test!R34</f>
        <v>9</v>
      </c>
      <c r="I33" s="94">
        <f>'ATTENDANCE MARKS'!O33+'CIA '!N33+'CIA '!O33+Test!U34</f>
        <v>11.25</v>
      </c>
      <c r="J33" s="94">
        <f>'ATTENDANCE MARKS'!Q33+'CIA '!P33+'CIA '!Q33+Test!X34</f>
        <v>10.5</v>
      </c>
    </row>
    <row r="34" ht="12.75" customHeight="1">
      <c r="A34" s="23">
        <v>29.0</v>
      </c>
      <c r="B34" s="24" t="s">
        <v>76</v>
      </c>
      <c r="C34" s="25" t="s">
        <v>77</v>
      </c>
      <c r="D34" s="93">
        <f>'ATTENDANCE MARKS'!E34+'CIA '!D34+'CIA '!E34+Test!F35</f>
        <v>7.25</v>
      </c>
      <c r="E34" s="94">
        <f>'ATTENDANCE MARKS'!G34+'CIA '!F34+'CIA '!G34+Test!I35</f>
        <v>6.75</v>
      </c>
      <c r="F34" s="94">
        <f>'ATTENDANCE MARKS'!I34+'CIA '!H34+'CIA '!I34+Test!L35</f>
        <v>9.625</v>
      </c>
      <c r="G34" s="94">
        <f>'ATTENDANCE MARKS'!K34+'CIA '!J34+'CIA '!K34+Test!O35</f>
        <v>7.5</v>
      </c>
      <c r="H34" s="94">
        <f>'ATTENDANCE MARKS'!M34+'CIA '!L34+'CIA '!M34+Test!R35</f>
        <v>6.125</v>
      </c>
      <c r="I34" s="94">
        <f>'ATTENDANCE MARKS'!O34+'CIA '!N34+'CIA '!O34+Test!U35</f>
        <v>6.125</v>
      </c>
      <c r="J34" s="94">
        <f>'ATTENDANCE MARKS'!Q34+'CIA '!P34+'CIA '!Q34+Test!X35</f>
        <v>8.833333333</v>
      </c>
    </row>
    <row r="35" ht="12.75" customHeight="1">
      <c r="A35" s="23">
        <v>30.0</v>
      </c>
      <c r="B35" s="24" t="s">
        <v>78</v>
      </c>
      <c r="C35" s="25" t="s">
        <v>79</v>
      </c>
      <c r="D35" s="93">
        <f>'ATTENDANCE MARKS'!E35+'CIA '!D35+'CIA '!E35+Test!F36</f>
        <v>6.5</v>
      </c>
      <c r="E35" s="94">
        <f>'ATTENDANCE MARKS'!G35+'CIA '!F35+'CIA '!G35+Test!I36</f>
        <v>8</v>
      </c>
      <c r="F35" s="94">
        <f>'ATTENDANCE MARKS'!I35+'CIA '!H35+'CIA '!I35+Test!L36</f>
        <v>11.25</v>
      </c>
      <c r="G35" s="94">
        <f>'ATTENDANCE MARKS'!K35+'CIA '!J35+'CIA '!K35+Test!O36</f>
        <v>8.5</v>
      </c>
      <c r="H35" s="94">
        <f>'ATTENDANCE MARKS'!M35+'CIA '!L35+'CIA '!M35+Test!R36</f>
        <v>5.875</v>
      </c>
      <c r="I35" s="94">
        <f>'ATTENDANCE MARKS'!O35+'CIA '!N35+'CIA '!O35+Test!U36</f>
        <v>7.625</v>
      </c>
      <c r="J35" s="94">
        <f>'ATTENDANCE MARKS'!Q35+'CIA '!P35+'CIA '!Q35+Test!X36</f>
        <v>10</v>
      </c>
    </row>
    <row r="36" ht="12.75" customHeight="1">
      <c r="A36" s="23">
        <v>31.0</v>
      </c>
      <c r="B36" s="24" t="s">
        <v>80</v>
      </c>
      <c r="C36" s="25" t="s">
        <v>81</v>
      </c>
      <c r="D36" s="93">
        <f>'ATTENDANCE MARKS'!E36+'CIA '!D36+'CIA '!E36+Test!F37</f>
        <v>4.75</v>
      </c>
      <c r="E36" s="94">
        <f>'ATTENDANCE MARKS'!G36+'CIA '!F36+'CIA '!G36+Test!I37</f>
        <v>7.5</v>
      </c>
      <c r="F36" s="94">
        <f>'ATTENDANCE MARKS'!I36+'CIA '!H36+'CIA '!I36+Test!L37</f>
        <v>10.75</v>
      </c>
      <c r="G36" s="94">
        <f>'ATTENDANCE MARKS'!K36+'CIA '!J36+'CIA '!K36+Test!O37</f>
        <v>8.25</v>
      </c>
      <c r="H36" s="94">
        <f>'ATTENDANCE MARKS'!M36+'CIA '!L36+'CIA '!M36+Test!R37</f>
        <v>6.5</v>
      </c>
      <c r="I36" s="94">
        <f>'ATTENDANCE MARKS'!O36+'CIA '!N36+'CIA '!O36+Test!U37</f>
        <v>10</v>
      </c>
      <c r="J36" s="94">
        <f>'ATTENDANCE MARKS'!Q36+'CIA '!P36+'CIA '!Q36+Test!X37</f>
        <v>8</v>
      </c>
    </row>
    <row r="37" ht="12.75" customHeight="1">
      <c r="A37" s="23">
        <v>32.0</v>
      </c>
      <c r="B37" s="24" t="s">
        <v>82</v>
      </c>
      <c r="C37" s="25" t="s">
        <v>83</v>
      </c>
      <c r="D37" s="93">
        <f>'ATTENDANCE MARKS'!E37+'CIA '!D37+'CIA '!E37+Test!F38</f>
        <v>5.625</v>
      </c>
      <c r="E37" s="94">
        <f>'ATTENDANCE MARKS'!G37+'CIA '!F37+'CIA '!G37+Test!I38</f>
        <v>8.125</v>
      </c>
      <c r="F37" s="94">
        <f>'ATTENDANCE MARKS'!I37+'CIA '!H37+'CIA '!I37+Test!L38</f>
        <v>10.25</v>
      </c>
      <c r="G37" s="94">
        <f>'ATTENDANCE MARKS'!K37+'CIA '!J37+'CIA '!K37+Test!O38</f>
        <v>7.25</v>
      </c>
      <c r="H37" s="94">
        <f>'ATTENDANCE MARKS'!M37+'CIA '!L37+'CIA '!M37+Test!R38</f>
        <v>6</v>
      </c>
      <c r="I37" s="94">
        <f>'ATTENDANCE MARKS'!O37+'CIA '!N37+'CIA '!O37+Test!U38</f>
        <v>8</v>
      </c>
      <c r="J37" s="94">
        <f>'ATTENDANCE MARKS'!Q37+'CIA '!P37+'CIA '!Q37+Test!X38</f>
        <v>9</v>
      </c>
    </row>
    <row r="38" ht="12.75" customHeight="1">
      <c r="A38" s="23">
        <v>33.0</v>
      </c>
      <c r="B38" s="24" t="s">
        <v>84</v>
      </c>
      <c r="C38" s="25" t="s">
        <v>85</v>
      </c>
      <c r="D38" s="93">
        <f>'ATTENDANCE MARKS'!E38+'CIA '!D38+'CIA '!E38+Test!F39</f>
        <v>9.25</v>
      </c>
      <c r="E38" s="94">
        <f>'ATTENDANCE MARKS'!G38+'CIA '!F38+'CIA '!G38+Test!I39</f>
        <v>8.25</v>
      </c>
      <c r="F38" s="94">
        <f>'ATTENDANCE MARKS'!I38+'CIA '!H38+'CIA '!I38+Test!L39</f>
        <v>8</v>
      </c>
      <c r="G38" s="94">
        <f>'ATTENDANCE MARKS'!K38+'CIA '!J38+'CIA '!K38+Test!O39</f>
        <v>9.875</v>
      </c>
      <c r="H38" s="94">
        <f>'ATTENDANCE MARKS'!M38+'CIA '!L38+'CIA '!M38+Test!R39</f>
        <v>7.75</v>
      </c>
      <c r="I38" s="94">
        <f>'ATTENDANCE MARKS'!O38+'CIA '!N38+'CIA '!O38+Test!U39</f>
        <v>7.75</v>
      </c>
      <c r="J38" s="94">
        <f>'ATTENDANCE MARKS'!Q38+'CIA '!P38+'CIA '!Q38+Test!X39</f>
        <v>11.16666667</v>
      </c>
    </row>
    <row r="39" ht="12.75" customHeight="1">
      <c r="A39" s="23">
        <v>34.0</v>
      </c>
      <c r="B39" s="24" t="s">
        <v>86</v>
      </c>
      <c r="C39" s="25" t="s">
        <v>87</v>
      </c>
      <c r="D39" s="93">
        <f>'ATTENDANCE MARKS'!E39+'CIA '!D39+'CIA '!E39+Test!F40</f>
        <v>11.25</v>
      </c>
      <c r="E39" s="94">
        <f>'ATTENDANCE MARKS'!G39+'CIA '!F39+'CIA '!G39+Test!I40</f>
        <v>8.875</v>
      </c>
      <c r="F39" s="94">
        <f>'ATTENDANCE MARKS'!I39+'CIA '!H39+'CIA '!I39+Test!L40</f>
        <v>10</v>
      </c>
      <c r="G39" s="94">
        <f>'ATTENDANCE MARKS'!K39+'CIA '!J39+'CIA '!K39+Test!O40</f>
        <v>10</v>
      </c>
      <c r="H39" s="94">
        <f>'ATTENDANCE MARKS'!M39+'CIA '!L39+'CIA '!M39+Test!R40</f>
        <v>9.25</v>
      </c>
      <c r="I39" s="94">
        <f>'ATTENDANCE MARKS'!O39+'CIA '!N39+'CIA '!O39+Test!U40</f>
        <v>9.75</v>
      </c>
      <c r="J39" s="94">
        <f>'ATTENDANCE MARKS'!Q39+'CIA '!P39+'CIA '!Q39+Test!X40</f>
        <v>12.5</v>
      </c>
    </row>
    <row r="40" ht="12.75" customHeight="1">
      <c r="A40" s="23">
        <v>35.0</v>
      </c>
      <c r="B40" s="24" t="s">
        <v>88</v>
      </c>
      <c r="C40" s="25" t="s">
        <v>89</v>
      </c>
      <c r="D40" s="93">
        <f>'ATTENDANCE MARKS'!E40+'CIA '!D40+'CIA '!E40+Test!F41</f>
        <v>6.125</v>
      </c>
      <c r="E40" s="94">
        <f>'ATTENDANCE MARKS'!G40+'CIA '!F40+'CIA '!G40+Test!I41</f>
        <v>8.125</v>
      </c>
      <c r="F40" s="94">
        <f>'ATTENDANCE MARKS'!I40+'CIA '!H40+'CIA '!I40+Test!L41</f>
        <v>11.625</v>
      </c>
      <c r="G40" s="94">
        <f>'ATTENDANCE MARKS'!K40+'CIA '!J40+'CIA '!K40+Test!O41</f>
        <v>7.25</v>
      </c>
      <c r="H40" s="94">
        <f>'ATTENDANCE MARKS'!M40+'CIA '!L40+'CIA '!M40+Test!R41</f>
        <v>9.25</v>
      </c>
      <c r="I40" s="94">
        <f>'ATTENDANCE MARKS'!O40+'CIA '!N40+'CIA '!O40+Test!U41</f>
        <v>12.25</v>
      </c>
      <c r="J40" s="94">
        <f>'ATTENDANCE MARKS'!Q40+'CIA '!P40+'CIA '!Q40+Test!X41</f>
        <v>10.5</v>
      </c>
    </row>
    <row r="41" ht="12.75" customHeight="1">
      <c r="A41" s="23">
        <v>36.0</v>
      </c>
      <c r="B41" s="24" t="s">
        <v>90</v>
      </c>
      <c r="C41" s="25" t="s">
        <v>91</v>
      </c>
      <c r="D41" s="93">
        <f>'ATTENDANCE MARKS'!E41+'CIA '!D41+'CIA '!E41+Test!F42</f>
        <v>5.875</v>
      </c>
      <c r="E41" s="94">
        <f>'ATTENDANCE MARKS'!G41+'CIA '!F41+'CIA '!G41+Test!I42</f>
        <v>6.5</v>
      </c>
      <c r="F41" s="94">
        <f>'ATTENDANCE MARKS'!I41+'CIA '!H41+'CIA '!I41+Test!L42</f>
        <v>5.5</v>
      </c>
      <c r="G41" s="94">
        <f>'ATTENDANCE MARKS'!K41+'CIA '!J41+'CIA '!K41+Test!O42</f>
        <v>6.875</v>
      </c>
      <c r="H41" s="94">
        <f>'ATTENDANCE MARKS'!M41+'CIA '!L41+'CIA '!M41+Test!R42</f>
        <v>5.25</v>
      </c>
      <c r="I41" s="94">
        <f>'ATTENDANCE MARKS'!O41+'CIA '!N41+'CIA '!O41+Test!U42</f>
        <v>5.875</v>
      </c>
      <c r="J41" s="94">
        <f>'ATTENDANCE MARKS'!Q41+'CIA '!P41+'CIA '!Q41+Test!X42</f>
        <v>10.5</v>
      </c>
    </row>
    <row r="42" ht="12.75" customHeight="1">
      <c r="A42" s="23">
        <v>37.0</v>
      </c>
      <c r="B42" s="24" t="s">
        <v>92</v>
      </c>
      <c r="C42" s="25" t="s">
        <v>93</v>
      </c>
      <c r="D42" s="93">
        <f>'ATTENDANCE MARKS'!E42+'CIA '!D42+'CIA '!E42+Test!F43</f>
        <v>6.125</v>
      </c>
      <c r="E42" s="94">
        <f>'ATTENDANCE MARKS'!G42+'CIA '!F42+'CIA '!G42+Test!I43</f>
        <v>7.625</v>
      </c>
      <c r="F42" s="94">
        <f>'ATTENDANCE MARKS'!I42+'CIA '!H42+'CIA '!I42+Test!L43</f>
        <v>11.25</v>
      </c>
      <c r="G42" s="94">
        <f>'ATTENDANCE MARKS'!K42+'CIA '!J42+'CIA '!K42+Test!O43</f>
        <v>9</v>
      </c>
      <c r="H42" s="94">
        <f>'ATTENDANCE MARKS'!M42+'CIA '!L42+'CIA '!M42+Test!R43</f>
        <v>4.375</v>
      </c>
      <c r="I42" s="94">
        <f>'ATTENDANCE MARKS'!O42+'CIA '!N42+'CIA '!O42+Test!U43</f>
        <v>7.375</v>
      </c>
      <c r="J42" s="94">
        <f>'ATTENDANCE MARKS'!Q42+'CIA '!P42+'CIA '!Q42+Test!X43</f>
        <v>10.5</v>
      </c>
    </row>
    <row r="43" ht="12.75" customHeight="1">
      <c r="A43" s="23">
        <v>38.0</v>
      </c>
      <c r="B43" s="24" t="s">
        <v>94</v>
      </c>
      <c r="C43" s="25" t="s">
        <v>126</v>
      </c>
      <c r="D43" s="93">
        <f>'ATTENDANCE MARKS'!E43+'CIA '!D43+'CIA '!E43+Test!F44</f>
        <v>9.125</v>
      </c>
      <c r="E43" s="94">
        <f>'ATTENDANCE MARKS'!G43+'CIA '!F43+'CIA '!G43+Test!I44</f>
        <v>8</v>
      </c>
      <c r="F43" s="94">
        <f>'ATTENDANCE MARKS'!I43+'CIA '!H43+'CIA '!I43+Test!L44</f>
        <v>4.5</v>
      </c>
      <c r="G43" s="94">
        <f>'ATTENDANCE MARKS'!K43+'CIA '!J43+'CIA '!K43+Test!O44</f>
        <v>4.75</v>
      </c>
      <c r="H43" s="94">
        <f>'ATTENDANCE MARKS'!M43+'CIA '!L43+'CIA '!M43+Test!R44</f>
        <v>5</v>
      </c>
      <c r="I43" s="94">
        <f>'ATTENDANCE MARKS'!O43+'CIA '!N43+'CIA '!O43+Test!U44</f>
        <v>5.5</v>
      </c>
      <c r="J43" s="94">
        <f>'ATTENDANCE MARKS'!Q43+'CIA '!P43+'CIA '!Q43+Test!X44</f>
        <v>9</v>
      </c>
    </row>
    <row r="44" ht="12.75" customHeight="1">
      <c r="A44" s="23">
        <v>39.0</v>
      </c>
      <c r="B44" s="24" t="s">
        <v>96</v>
      </c>
      <c r="C44" s="25" t="s">
        <v>127</v>
      </c>
      <c r="D44" s="93">
        <f>'ATTENDANCE MARKS'!E44+'CIA '!D44+'CIA '!E44+Test!F45</f>
        <v>8.25</v>
      </c>
      <c r="E44" s="94">
        <f>'ATTENDANCE MARKS'!G44+'CIA '!F44+'CIA '!G44+Test!I45</f>
        <v>8.125</v>
      </c>
      <c r="F44" s="94">
        <f>'ATTENDANCE MARKS'!I44+'CIA '!H44+'CIA '!I44+Test!L45</f>
        <v>9.125</v>
      </c>
      <c r="G44" s="94">
        <f>'ATTENDANCE MARKS'!K44+'CIA '!J44+'CIA '!K44+Test!O45</f>
        <v>10</v>
      </c>
      <c r="H44" s="94">
        <f>'ATTENDANCE MARKS'!M44+'CIA '!L44+'CIA '!M44+Test!R45</f>
        <v>9.875</v>
      </c>
      <c r="I44" s="94">
        <f>'ATTENDANCE MARKS'!O44+'CIA '!N44+'CIA '!O44+Test!U45</f>
        <v>10.5</v>
      </c>
      <c r="J44" s="94">
        <f>'ATTENDANCE MARKS'!Q44+'CIA '!P44+'CIA '!Q44+Test!X45</f>
        <v>8.333333333</v>
      </c>
    </row>
    <row r="45" ht="12.75" customHeight="1">
      <c r="A45" s="23">
        <v>40.0</v>
      </c>
      <c r="B45" s="24" t="s">
        <v>98</v>
      </c>
      <c r="C45" s="25" t="s">
        <v>128</v>
      </c>
      <c r="D45" s="93">
        <f>'ATTENDANCE MARKS'!E45+'CIA '!D45+'CIA '!E45+Test!F46</f>
        <v>8</v>
      </c>
      <c r="E45" s="94">
        <f>'ATTENDANCE MARKS'!G45+'CIA '!F45+'CIA '!G45+Test!I46</f>
        <v>11.875</v>
      </c>
      <c r="F45" s="94">
        <f>'ATTENDANCE MARKS'!I45+'CIA '!H45+'CIA '!I45+Test!L46</f>
        <v>11.125</v>
      </c>
      <c r="G45" s="94">
        <f>'ATTENDANCE MARKS'!K45+'CIA '!J45+'CIA '!K45+Test!O46</f>
        <v>12.5</v>
      </c>
      <c r="H45" s="94">
        <f>'ATTENDANCE MARKS'!M45+'CIA '!L45+'CIA '!M45+Test!R46</f>
        <v>10.875</v>
      </c>
      <c r="I45" s="94">
        <f>'ATTENDANCE MARKS'!O45+'CIA '!N45+'CIA '!O45+Test!U46</f>
        <v>9</v>
      </c>
      <c r="J45" s="94">
        <f>'ATTENDANCE MARKS'!Q45+'CIA '!P45+'CIA '!Q45+Test!X46</f>
        <v>9.833333333</v>
      </c>
    </row>
    <row r="46" ht="12.75" customHeight="1">
      <c r="A46" s="23">
        <v>41.0</v>
      </c>
      <c r="B46" s="24" t="s">
        <v>100</v>
      </c>
      <c r="C46" s="25" t="s">
        <v>129</v>
      </c>
      <c r="D46" s="93">
        <f>'ATTENDANCE MARKS'!E46+'CIA '!D46+'CIA '!E46+Test!F47</f>
        <v>9.375</v>
      </c>
      <c r="E46" s="94">
        <f>'ATTENDANCE MARKS'!G46+'CIA '!F46+'CIA '!G46+Test!I47</f>
        <v>10</v>
      </c>
      <c r="F46" s="94">
        <f>'ATTENDANCE MARKS'!I46+'CIA '!H46+'CIA '!I46+Test!L47</f>
        <v>9.5</v>
      </c>
      <c r="G46" s="94">
        <f>'ATTENDANCE MARKS'!K46+'CIA '!J46+'CIA '!K46+Test!O47</f>
        <v>9.875</v>
      </c>
      <c r="H46" s="94">
        <f>'ATTENDANCE MARKS'!M46+'CIA '!L46+'CIA '!M46+Test!R47</f>
        <v>9.875</v>
      </c>
      <c r="I46" s="94">
        <f>'ATTENDANCE MARKS'!O46+'CIA '!N46+'CIA '!O46+Test!U47</f>
        <v>10.75</v>
      </c>
      <c r="J46" s="94">
        <f>'ATTENDANCE MARKS'!Q46+'CIA '!P46+'CIA '!Q46+Test!X47</f>
        <v>9.833333333</v>
      </c>
    </row>
    <row r="47" ht="12.75" customHeight="1">
      <c r="A47" s="23">
        <v>42.0</v>
      </c>
      <c r="B47" s="24" t="s">
        <v>102</v>
      </c>
      <c r="C47" s="25" t="s">
        <v>130</v>
      </c>
      <c r="D47" s="93">
        <f>'ATTENDANCE MARKS'!E47+'CIA '!D47+'CIA '!E47+Test!F48</f>
        <v>8</v>
      </c>
      <c r="E47" s="94">
        <f>'ATTENDANCE MARKS'!G47+'CIA '!F47+'CIA '!G47+Test!I48</f>
        <v>6.5</v>
      </c>
      <c r="F47" s="94">
        <f>'ATTENDANCE MARKS'!I47+'CIA '!H47+'CIA '!I47+Test!L48</f>
        <v>8.5</v>
      </c>
      <c r="G47" s="94">
        <f>'ATTENDANCE MARKS'!K47+'CIA '!J47+'CIA '!K47+Test!O48</f>
        <v>7.5</v>
      </c>
      <c r="H47" s="94">
        <f>'ATTENDANCE MARKS'!M47+'CIA '!L47+'CIA '!M47+Test!R48</f>
        <v>5.875</v>
      </c>
      <c r="I47" s="94">
        <f>'ATTENDANCE MARKS'!O47+'CIA '!N47+'CIA '!O47+Test!U48</f>
        <v>7.75</v>
      </c>
      <c r="J47" s="94">
        <f>'ATTENDANCE MARKS'!Q47+'CIA '!P47+'CIA '!Q47+Test!X48</f>
        <v>5</v>
      </c>
    </row>
    <row r="48" ht="12.75" customHeight="1">
      <c r="A48" s="23">
        <v>43.0</v>
      </c>
      <c r="B48" s="24" t="s">
        <v>104</v>
      </c>
      <c r="C48" s="25" t="s">
        <v>131</v>
      </c>
      <c r="D48" s="93">
        <f>'ATTENDANCE MARKS'!E48+'CIA '!D48+'CIA '!E48+Test!F49</f>
        <v>9.25</v>
      </c>
      <c r="E48" s="94">
        <f>'ATTENDANCE MARKS'!G48+'CIA '!F48+'CIA '!G48+Test!I49</f>
        <v>10.5</v>
      </c>
      <c r="F48" s="94">
        <f>'ATTENDANCE MARKS'!I48+'CIA '!H48+'CIA '!I48+Test!L49</f>
        <v>9.375</v>
      </c>
      <c r="G48" s="94">
        <f>'ATTENDANCE MARKS'!K48+'CIA '!J48+'CIA '!K48+Test!O49</f>
        <v>10.375</v>
      </c>
      <c r="H48" s="94">
        <f>'ATTENDANCE MARKS'!M48+'CIA '!L48+'CIA '!M48+Test!R49</f>
        <v>9</v>
      </c>
      <c r="I48" s="94">
        <f>'ATTENDANCE MARKS'!O48+'CIA '!N48+'CIA '!O48+Test!U49</f>
        <v>12.5</v>
      </c>
      <c r="J48" s="94">
        <f>'ATTENDANCE MARKS'!Q48+'CIA '!P48+'CIA '!Q48+Test!X49</f>
        <v>8.833333333</v>
      </c>
    </row>
    <row r="49" ht="12.75" customHeight="1">
      <c r="A49" s="23">
        <v>44.0</v>
      </c>
      <c r="B49" s="24" t="s">
        <v>106</v>
      </c>
      <c r="C49" s="25" t="s">
        <v>132</v>
      </c>
      <c r="D49" s="93">
        <f>'ATTENDANCE MARKS'!E49+'CIA '!D49+'CIA '!E49+Test!F50</f>
        <v>9.375</v>
      </c>
      <c r="E49" s="94">
        <f>'ATTENDANCE MARKS'!G49+'CIA '!F49+'CIA '!G49+Test!I50</f>
        <v>7.875</v>
      </c>
      <c r="F49" s="94">
        <f>'ATTENDANCE MARKS'!I49+'CIA '!H49+'CIA '!I49+Test!L50</f>
        <v>9</v>
      </c>
      <c r="G49" s="94">
        <f>'ATTENDANCE MARKS'!K49+'CIA '!J49+'CIA '!K49+Test!O50</f>
        <v>9.625</v>
      </c>
      <c r="H49" s="94">
        <f>'ATTENDANCE MARKS'!M49+'CIA '!L49+'CIA '!M49+Test!R50</f>
        <v>7.75</v>
      </c>
      <c r="I49" s="94">
        <f>'ATTENDANCE MARKS'!O49+'CIA '!N49+'CIA '!O49+Test!U50</f>
        <v>7.5</v>
      </c>
      <c r="J49" s="94">
        <f>'ATTENDANCE MARKS'!Q49+'CIA '!P49+'CIA '!Q49+Test!X50</f>
        <v>7.166666667</v>
      </c>
    </row>
    <row r="50" ht="12.75" customHeight="1">
      <c r="A50" s="23">
        <v>45.0</v>
      </c>
      <c r="B50" s="24" t="s">
        <v>108</v>
      </c>
      <c r="C50" s="25" t="s">
        <v>133</v>
      </c>
      <c r="D50" s="93">
        <f>'ATTENDANCE MARKS'!E50+'CIA '!D50+'CIA '!E50+Test!F51</f>
        <v>9.5</v>
      </c>
      <c r="E50" s="94">
        <f>'ATTENDANCE MARKS'!G50+'CIA '!F50+'CIA '!G50+Test!I51</f>
        <v>8.75</v>
      </c>
      <c r="F50" s="94">
        <f>'ATTENDANCE MARKS'!I50+'CIA '!H50+'CIA '!I50+Test!L51</f>
        <v>8.125</v>
      </c>
      <c r="G50" s="94">
        <f>'ATTENDANCE MARKS'!K50+'CIA '!J50+'CIA '!K50+Test!O51</f>
        <v>8.875</v>
      </c>
      <c r="H50" s="94">
        <f>'ATTENDANCE MARKS'!M50+'CIA '!L50+'CIA '!M50+Test!R51</f>
        <v>4.25</v>
      </c>
      <c r="I50" s="94">
        <f>'ATTENDANCE MARKS'!O50+'CIA '!N50+'CIA '!O50+Test!U51</f>
        <v>6</v>
      </c>
      <c r="J50" s="94">
        <f>'ATTENDANCE MARKS'!Q50+'CIA '!P50+'CIA '!Q50+Test!X51</f>
        <v>9.333333333</v>
      </c>
    </row>
    <row r="51" ht="12.75" customHeight="1">
      <c r="A51" s="23">
        <v>46.0</v>
      </c>
      <c r="B51" s="24" t="s">
        <v>110</v>
      </c>
      <c r="C51" s="25" t="s">
        <v>134</v>
      </c>
      <c r="D51" s="93">
        <f>'ATTENDANCE MARKS'!E51+'CIA '!D51+'CIA '!E51+Test!F52</f>
        <v>9.5</v>
      </c>
      <c r="E51" s="94">
        <f>'ATTENDANCE MARKS'!G51+'CIA '!F51+'CIA '!G51+Test!I52</f>
        <v>10.875</v>
      </c>
      <c r="F51" s="94">
        <f>'ATTENDANCE MARKS'!I51+'CIA '!H51+'CIA '!I51+Test!L52</f>
        <v>12.25</v>
      </c>
      <c r="G51" s="94">
        <f>'ATTENDANCE MARKS'!K51+'CIA '!J51+'CIA '!K51+Test!O52</f>
        <v>11.375</v>
      </c>
      <c r="H51" s="94">
        <f>'ATTENDANCE MARKS'!M51+'CIA '!L51+'CIA '!M51+Test!R52</f>
        <v>9</v>
      </c>
      <c r="I51" s="94">
        <f>'ATTENDANCE MARKS'!O51+'CIA '!N51+'CIA '!O51+Test!U52</f>
        <v>10.75</v>
      </c>
      <c r="J51" s="94">
        <f>'ATTENDANCE MARKS'!Q51+'CIA '!P51+'CIA '!Q51+Test!X52</f>
        <v>9.833333333</v>
      </c>
    </row>
    <row r="52" ht="12.75" customHeight="1">
      <c r="A52" s="23">
        <v>47.0</v>
      </c>
      <c r="B52" s="24" t="s">
        <v>112</v>
      </c>
      <c r="C52" s="25" t="s">
        <v>135</v>
      </c>
      <c r="D52" s="93">
        <f>'ATTENDANCE MARKS'!E52+'CIA '!D52+'CIA '!E52+Test!F53</f>
        <v>9.5</v>
      </c>
      <c r="E52" s="94">
        <f>'ATTENDANCE MARKS'!G52+'CIA '!F52+'CIA '!G52+Test!I53</f>
        <v>8.375</v>
      </c>
      <c r="F52" s="94">
        <f>'ATTENDANCE MARKS'!I52+'CIA '!H52+'CIA '!I52+Test!L53</f>
        <v>9.75</v>
      </c>
      <c r="G52" s="94">
        <f>'ATTENDANCE MARKS'!K52+'CIA '!J52+'CIA '!K52+Test!O53</f>
        <v>10.875</v>
      </c>
      <c r="H52" s="94">
        <f>'ATTENDANCE MARKS'!M52+'CIA '!L52+'CIA '!M52+Test!R53</f>
        <v>8.875</v>
      </c>
      <c r="I52" s="94">
        <f>'ATTENDANCE MARKS'!O52+'CIA '!N52+'CIA '!O52+Test!U53</f>
        <v>8.5</v>
      </c>
      <c r="J52" s="94">
        <f>'ATTENDANCE MARKS'!Q52+'CIA '!P52+'CIA '!Q52+Test!X53</f>
        <v>10.33333333</v>
      </c>
    </row>
    <row r="53" ht="12.75" customHeight="1">
      <c r="A53" s="23">
        <v>48.0</v>
      </c>
      <c r="B53" s="24" t="s">
        <v>114</v>
      </c>
      <c r="C53" s="25" t="s">
        <v>136</v>
      </c>
      <c r="D53" s="93">
        <f>'ATTENDANCE MARKS'!E53+'CIA '!D53+'CIA '!E53+Test!F54</f>
        <v>8.5</v>
      </c>
      <c r="E53" s="94">
        <f>'ATTENDANCE MARKS'!G53+'CIA '!F53+'CIA '!G53+Test!I54</f>
        <v>4.75</v>
      </c>
      <c r="F53" s="94">
        <f>'ATTENDANCE MARKS'!I53+'CIA '!H53+'CIA '!I53+Test!L54</f>
        <v>2</v>
      </c>
      <c r="G53" s="94">
        <f>'ATTENDANCE MARKS'!K53+'CIA '!J53+'CIA '!K53+Test!O54</f>
        <v>3.625</v>
      </c>
      <c r="H53" s="94">
        <f>'ATTENDANCE MARKS'!M53+'CIA '!L53+'CIA '!M53+Test!R54</f>
        <v>3.625</v>
      </c>
      <c r="I53" s="94">
        <f>'ATTENDANCE MARKS'!O53+'CIA '!N53+'CIA '!O53+Test!U54</f>
        <v>4.5</v>
      </c>
      <c r="J53" s="94">
        <f>'ATTENDANCE MARKS'!Q53+'CIA '!P53+'CIA '!Q53+Test!X54</f>
        <v>5.166666667</v>
      </c>
    </row>
    <row r="54" ht="12.75" customHeight="1">
      <c r="A54" s="23">
        <v>49.0</v>
      </c>
      <c r="B54" s="24" t="s">
        <v>116</v>
      </c>
      <c r="C54" s="25" t="s">
        <v>137</v>
      </c>
      <c r="D54" s="93">
        <f>'ATTENDANCE MARKS'!E54+'CIA '!D54+'CIA '!E54+Test!F55</f>
        <v>4.5</v>
      </c>
      <c r="E54" s="94">
        <f>'ATTENDANCE MARKS'!G54+'CIA '!F54+'CIA '!G54+Test!I55</f>
        <v>4.875</v>
      </c>
      <c r="F54" s="94">
        <f>'ATTENDANCE MARKS'!I54+'CIA '!H54+'CIA '!I54+Test!L55</f>
        <v>4.5</v>
      </c>
      <c r="G54" s="94">
        <f>'ATTENDANCE MARKS'!K54+'CIA '!J54+'CIA '!K54+Test!O55</f>
        <v>6.125</v>
      </c>
      <c r="H54" s="94">
        <f>'ATTENDANCE MARKS'!M54+'CIA '!L54+'CIA '!M54+Test!R55</f>
        <v>6.5</v>
      </c>
      <c r="I54" s="94">
        <f>'ATTENDANCE MARKS'!O54+'CIA '!N54+'CIA '!O54+Test!U55</f>
        <v>4.5</v>
      </c>
      <c r="J54" s="94">
        <f>'ATTENDANCE MARKS'!Q54+'CIA '!P54+'CIA '!Q54+Test!X55</f>
        <v>5.666666667</v>
      </c>
    </row>
    <row r="55" ht="12.75" customHeight="1">
      <c r="A55" s="23">
        <v>50.0</v>
      </c>
      <c r="B55" s="24" t="s">
        <v>118</v>
      </c>
      <c r="C55" s="25" t="s">
        <v>138</v>
      </c>
      <c r="D55" s="93">
        <f>'ATTENDANCE MARKS'!E55+'CIA '!D55+'CIA '!E55+Test!F56</f>
        <v>9.25</v>
      </c>
      <c r="E55" s="94">
        <f>'ATTENDANCE MARKS'!G55+'CIA '!F55+'CIA '!G55+Test!I56</f>
        <v>3.125</v>
      </c>
      <c r="F55" s="94">
        <f>'ATTENDANCE MARKS'!I55+'CIA '!H55+'CIA '!I55+Test!L56</f>
        <v>2</v>
      </c>
      <c r="G55" s="94">
        <f>'ATTENDANCE MARKS'!K55+'CIA '!J55+'CIA '!K55+Test!O56</f>
        <v>4</v>
      </c>
      <c r="H55" s="94">
        <f>'ATTENDANCE MARKS'!M55+'CIA '!L55+'CIA '!M55+Test!R56</f>
        <v>2</v>
      </c>
      <c r="I55" s="94">
        <f>'ATTENDANCE MARKS'!O55+'CIA '!N55+'CIA '!O55+Test!U56</f>
        <v>2</v>
      </c>
      <c r="J55" s="94">
        <f>'ATTENDANCE MARKS'!Q55+'CIA '!P55+'CIA '!Q55+Test!X56</f>
        <v>4.833333333</v>
      </c>
    </row>
    <row r="56" ht="12.75" customHeight="1">
      <c r="D56" s="66"/>
      <c r="E56" s="66"/>
      <c r="F56" s="66"/>
      <c r="G56" s="66"/>
      <c r="H56" s="66"/>
      <c r="I56" s="66"/>
      <c r="J56" s="66"/>
    </row>
    <row r="57" ht="12.75" customHeight="1">
      <c r="D57" s="66"/>
      <c r="E57" s="66"/>
      <c r="F57" s="66"/>
      <c r="G57" s="66"/>
      <c r="H57" s="66"/>
      <c r="I57" s="66"/>
      <c r="J57" s="66"/>
    </row>
    <row r="58" ht="12.75" customHeight="1">
      <c r="D58" s="66"/>
      <c r="E58" s="66"/>
      <c r="F58" s="66"/>
      <c r="G58" s="66"/>
      <c r="H58" s="66"/>
      <c r="I58" s="66"/>
      <c r="J58" s="66"/>
    </row>
    <row r="59" ht="12.75" customHeight="1">
      <c r="D59" s="66"/>
      <c r="E59" s="66"/>
      <c r="F59" s="66"/>
      <c r="G59" s="66"/>
      <c r="H59" s="66"/>
      <c r="I59" s="66"/>
      <c r="J59" s="66"/>
    </row>
    <row r="60" ht="12.75" customHeight="1">
      <c r="D60" s="66"/>
      <c r="E60" s="66"/>
      <c r="F60" s="66"/>
      <c r="G60" s="66"/>
      <c r="H60" s="66"/>
      <c r="I60" s="66"/>
      <c r="J60" s="66"/>
    </row>
    <row r="61" ht="12.75" customHeight="1">
      <c r="D61" s="66"/>
      <c r="E61" s="66"/>
      <c r="F61" s="66"/>
      <c r="G61" s="66"/>
      <c r="H61" s="66"/>
      <c r="I61" s="66"/>
      <c r="J61" s="66"/>
    </row>
    <row r="62" ht="12.75" customHeight="1">
      <c r="D62" s="66"/>
      <c r="E62" s="66"/>
      <c r="F62" s="66"/>
      <c r="G62" s="66"/>
      <c r="H62" s="66"/>
      <c r="I62" s="66"/>
      <c r="J62" s="66"/>
    </row>
    <row r="63" ht="12.75" customHeight="1">
      <c r="D63" s="66"/>
      <c r="E63" s="66"/>
      <c r="F63" s="66"/>
      <c r="G63" s="66"/>
      <c r="H63" s="66"/>
      <c r="I63" s="66"/>
      <c r="J63" s="66"/>
    </row>
    <row r="64" ht="12.75" customHeight="1">
      <c r="D64" s="66"/>
      <c r="E64" s="66"/>
      <c r="F64" s="66"/>
      <c r="G64" s="66"/>
      <c r="H64" s="66"/>
      <c r="I64" s="66"/>
      <c r="J64" s="66"/>
    </row>
    <row r="65" ht="12.75" customHeight="1">
      <c r="D65" s="66"/>
      <c r="E65" s="66"/>
      <c r="F65" s="66"/>
      <c r="G65" s="66"/>
      <c r="H65" s="66"/>
      <c r="I65" s="66"/>
      <c r="J65" s="66"/>
    </row>
    <row r="66" ht="12.75" customHeight="1">
      <c r="D66" s="66"/>
      <c r="E66" s="66"/>
      <c r="F66" s="66"/>
      <c r="G66" s="66"/>
      <c r="H66" s="66"/>
      <c r="I66" s="66"/>
      <c r="J66" s="66"/>
    </row>
    <row r="67" ht="12.75" customHeight="1">
      <c r="D67" s="66"/>
      <c r="E67" s="66"/>
      <c r="F67" s="66"/>
      <c r="G67" s="66"/>
      <c r="H67" s="66"/>
      <c r="I67" s="66"/>
      <c r="J67" s="66"/>
    </row>
    <row r="68" ht="12.75" customHeight="1">
      <c r="D68" s="66"/>
      <c r="E68" s="66"/>
      <c r="F68" s="66"/>
      <c r="G68" s="66"/>
      <c r="H68" s="66"/>
      <c r="I68" s="66"/>
      <c r="J68" s="66"/>
    </row>
    <row r="69" ht="12.75" customHeight="1">
      <c r="D69" s="66"/>
      <c r="E69" s="66"/>
      <c r="F69" s="66"/>
      <c r="G69" s="66"/>
      <c r="H69" s="66"/>
      <c r="I69" s="66"/>
      <c r="J69" s="66"/>
    </row>
    <row r="70" ht="12.75" customHeight="1">
      <c r="D70" s="66"/>
      <c r="E70" s="66"/>
      <c r="F70" s="66"/>
      <c r="G70" s="66"/>
      <c r="H70" s="66"/>
      <c r="I70" s="66"/>
      <c r="J70" s="66"/>
    </row>
    <row r="71" ht="12.75" customHeight="1">
      <c r="D71" s="66"/>
      <c r="E71" s="66"/>
      <c r="F71" s="66"/>
      <c r="G71" s="66"/>
      <c r="H71" s="66"/>
      <c r="I71" s="66"/>
      <c r="J71" s="66"/>
    </row>
    <row r="72" ht="12.75" customHeight="1">
      <c r="D72" s="66"/>
      <c r="E72" s="66"/>
      <c r="F72" s="66"/>
      <c r="G72" s="66"/>
      <c r="H72" s="66"/>
      <c r="I72" s="66"/>
      <c r="J72" s="66"/>
    </row>
    <row r="73" ht="12.75" customHeight="1">
      <c r="D73" s="66"/>
      <c r="E73" s="66"/>
      <c r="F73" s="66"/>
      <c r="G73" s="66"/>
      <c r="H73" s="66"/>
      <c r="I73" s="66"/>
      <c r="J73" s="66"/>
    </row>
    <row r="74" ht="12.75" customHeight="1">
      <c r="D74" s="66"/>
      <c r="E74" s="66"/>
      <c r="F74" s="66"/>
      <c r="G74" s="66"/>
      <c r="H74" s="66"/>
      <c r="I74" s="66"/>
      <c r="J74" s="66"/>
    </row>
    <row r="75" ht="12.75" customHeight="1">
      <c r="D75" s="66"/>
      <c r="E75" s="66"/>
      <c r="F75" s="66"/>
      <c r="G75" s="66"/>
      <c r="H75" s="66"/>
      <c r="I75" s="66"/>
      <c r="J75" s="66"/>
    </row>
    <row r="76" ht="12.75" customHeight="1">
      <c r="D76" s="66"/>
      <c r="E76" s="66"/>
      <c r="F76" s="66"/>
      <c r="G76" s="66"/>
      <c r="H76" s="66"/>
      <c r="I76" s="66"/>
      <c r="J76" s="66"/>
    </row>
    <row r="77" ht="12.75" customHeight="1">
      <c r="D77" s="66"/>
      <c r="E77" s="66"/>
      <c r="F77" s="66"/>
      <c r="G77" s="66"/>
      <c r="H77" s="66"/>
      <c r="I77" s="66"/>
      <c r="J77" s="66"/>
    </row>
    <row r="78" ht="12.75" customHeight="1">
      <c r="D78" s="66"/>
      <c r="E78" s="66"/>
      <c r="F78" s="66"/>
      <c r="G78" s="66"/>
      <c r="H78" s="66"/>
      <c r="I78" s="66"/>
      <c r="J78" s="66"/>
    </row>
    <row r="79" ht="12.75" customHeight="1">
      <c r="D79" s="66"/>
      <c r="E79" s="66"/>
      <c r="F79" s="66"/>
      <c r="G79" s="66"/>
      <c r="H79" s="66"/>
      <c r="I79" s="66"/>
      <c r="J79" s="66"/>
    </row>
    <row r="80" ht="12.75" customHeight="1">
      <c r="D80" s="66"/>
      <c r="E80" s="66"/>
      <c r="F80" s="66"/>
      <c r="G80" s="66"/>
      <c r="H80" s="66"/>
      <c r="I80" s="66"/>
      <c r="J80" s="66"/>
    </row>
    <row r="81" ht="12.75" customHeight="1">
      <c r="D81" s="66"/>
      <c r="E81" s="66"/>
      <c r="F81" s="66"/>
      <c r="G81" s="66"/>
      <c r="H81" s="66"/>
      <c r="I81" s="66"/>
      <c r="J81" s="66"/>
    </row>
    <row r="82" ht="12.75" customHeight="1">
      <c r="D82" s="66"/>
      <c r="E82" s="66"/>
      <c r="F82" s="66"/>
      <c r="G82" s="66"/>
      <c r="H82" s="66"/>
      <c r="I82" s="66"/>
      <c r="J82" s="66"/>
    </row>
    <row r="83" ht="12.75" customHeight="1">
      <c r="D83" s="66"/>
      <c r="E83" s="66"/>
      <c r="F83" s="66"/>
      <c r="G83" s="66"/>
      <c r="H83" s="66"/>
      <c r="I83" s="66"/>
      <c r="J83" s="66"/>
    </row>
    <row r="84" ht="12.75" customHeight="1">
      <c r="D84" s="66"/>
      <c r="E84" s="66"/>
      <c r="F84" s="66"/>
      <c r="G84" s="66"/>
      <c r="H84" s="66"/>
      <c r="I84" s="66"/>
      <c r="J84" s="66"/>
    </row>
    <row r="85" ht="12.75" customHeight="1">
      <c r="D85" s="66"/>
      <c r="E85" s="66"/>
      <c r="F85" s="66"/>
      <c r="G85" s="66"/>
      <c r="H85" s="66"/>
      <c r="I85" s="66"/>
      <c r="J85" s="66"/>
    </row>
    <row r="86" ht="12.75" customHeight="1">
      <c r="D86" s="66"/>
      <c r="E86" s="66"/>
      <c r="F86" s="66"/>
      <c r="G86" s="66"/>
      <c r="H86" s="66"/>
      <c r="I86" s="66"/>
      <c r="J86" s="66"/>
    </row>
    <row r="87" ht="12.75" customHeight="1">
      <c r="D87" s="66"/>
      <c r="E87" s="66"/>
      <c r="F87" s="66"/>
      <c r="G87" s="66"/>
      <c r="H87" s="66"/>
      <c r="I87" s="66"/>
      <c r="J87" s="66"/>
    </row>
    <row r="88" ht="12.75" customHeight="1">
      <c r="D88" s="66"/>
      <c r="E88" s="66"/>
      <c r="F88" s="66"/>
      <c r="G88" s="66"/>
      <c r="H88" s="66"/>
      <c r="I88" s="66"/>
      <c r="J88" s="66"/>
    </row>
    <row r="89" ht="12.75" customHeight="1">
      <c r="D89" s="66"/>
      <c r="E89" s="66"/>
      <c r="F89" s="66"/>
      <c r="G89" s="66"/>
      <c r="H89" s="66"/>
      <c r="I89" s="66"/>
      <c r="J89" s="66"/>
    </row>
    <row r="90" ht="12.75" customHeight="1">
      <c r="D90" s="66"/>
      <c r="E90" s="66"/>
      <c r="F90" s="66"/>
      <c r="G90" s="66"/>
      <c r="H90" s="66"/>
      <c r="I90" s="66"/>
      <c r="J90" s="66"/>
    </row>
    <row r="91" ht="12.75" customHeight="1">
      <c r="D91" s="66"/>
      <c r="E91" s="66"/>
      <c r="F91" s="66"/>
      <c r="G91" s="66"/>
      <c r="H91" s="66"/>
      <c r="I91" s="66"/>
      <c r="J91" s="66"/>
    </row>
    <row r="92" ht="12.75" customHeight="1">
      <c r="D92" s="66"/>
      <c r="E92" s="66"/>
      <c r="F92" s="66"/>
      <c r="G92" s="66"/>
      <c r="H92" s="66"/>
      <c r="I92" s="66"/>
      <c r="J92" s="66"/>
    </row>
    <row r="93" ht="12.75" customHeight="1">
      <c r="D93" s="66"/>
      <c r="E93" s="66"/>
      <c r="F93" s="66"/>
      <c r="G93" s="66"/>
      <c r="H93" s="66"/>
      <c r="I93" s="66"/>
      <c r="J93" s="66"/>
    </row>
    <row r="94" ht="12.75" customHeight="1">
      <c r="D94" s="66"/>
      <c r="E94" s="66"/>
      <c r="F94" s="66"/>
      <c r="G94" s="66"/>
      <c r="H94" s="66"/>
      <c r="I94" s="66"/>
      <c r="J94" s="66"/>
    </row>
    <row r="95" ht="12.75" customHeight="1">
      <c r="D95" s="66"/>
      <c r="E95" s="66"/>
      <c r="F95" s="66"/>
      <c r="G95" s="66"/>
      <c r="H95" s="66"/>
      <c r="I95" s="66"/>
      <c r="J95" s="66"/>
    </row>
    <row r="96" ht="12.75" customHeight="1">
      <c r="D96" s="66"/>
      <c r="E96" s="66"/>
      <c r="F96" s="66"/>
      <c r="G96" s="66"/>
      <c r="H96" s="66"/>
      <c r="I96" s="66"/>
      <c r="J96" s="66"/>
    </row>
    <row r="97" ht="12.75" customHeight="1">
      <c r="D97" s="66"/>
      <c r="E97" s="66"/>
      <c r="F97" s="66"/>
      <c r="G97" s="66"/>
      <c r="H97" s="66"/>
      <c r="I97" s="66"/>
      <c r="J97" s="66"/>
    </row>
    <row r="98" ht="12.75" customHeight="1">
      <c r="D98" s="66"/>
      <c r="E98" s="66"/>
      <c r="F98" s="66"/>
      <c r="G98" s="66"/>
      <c r="H98" s="66"/>
      <c r="I98" s="66"/>
      <c r="J98" s="66"/>
    </row>
    <row r="99" ht="12.75" customHeight="1">
      <c r="D99" s="66"/>
      <c r="E99" s="66"/>
      <c r="F99" s="66"/>
      <c r="G99" s="66"/>
      <c r="H99" s="66"/>
      <c r="I99" s="66"/>
      <c r="J99" s="66"/>
    </row>
    <row r="100" ht="12.75" customHeight="1">
      <c r="D100" s="66"/>
      <c r="E100" s="66"/>
      <c r="F100" s="66"/>
      <c r="G100" s="66"/>
      <c r="H100" s="66"/>
      <c r="I100" s="66"/>
      <c r="J100" s="66"/>
    </row>
    <row r="101" ht="12.75" customHeight="1">
      <c r="D101" s="66"/>
      <c r="E101" s="66"/>
      <c r="F101" s="66"/>
      <c r="G101" s="66"/>
      <c r="H101" s="66"/>
      <c r="I101" s="66"/>
      <c r="J101" s="66"/>
    </row>
    <row r="102" ht="12.75" customHeight="1">
      <c r="D102" s="66"/>
      <c r="E102" s="66"/>
      <c r="F102" s="66"/>
      <c r="G102" s="66"/>
      <c r="H102" s="66"/>
      <c r="I102" s="66"/>
      <c r="J102" s="66"/>
    </row>
    <row r="103" ht="12.75" customHeight="1">
      <c r="D103" s="66"/>
      <c r="E103" s="66"/>
      <c r="F103" s="66"/>
      <c r="G103" s="66"/>
      <c r="H103" s="66"/>
      <c r="I103" s="66"/>
      <c r="J103" s="66"/>
    </row>
    <row r="104" ht="12.75" customHeight="1">
      <c r="D104" s="66"/>
      <c r="E104" s="66"/>
      <c r="F104" s="66"/>
      <c r="G104" s="66"/>
      <c r="H104" s="66"/>
      <c r="I104" s="66"/>
      <c r="J104" s="66"/>
    </row>
    <row r="105" ht="12.75" customHeight="1">
      <c r="D105" s="66"/>
      <c r="E105" s="66"/>
      <c r="F105" s="66"/>
      <c r="G105" s="66"/>
      <c r="H105" s="66"/>
      <c r="I105" s="66"/>
      <c r="J105" s="66"/>
    </row>
    <row r="106" ht="12.75" customHeight="1">
      <c r="D106" s="66"/>
      <c r="E106" s="66"/>
      <c r="F106" s="66"/>
      <c r="G106" s="66"/>
      <c r="H106" s="66"/>
      <c r="I106" s="66"/>
      <c r="J106" s="66"/>
    </row>
    <row r="107" ht="12.75" customHeight="1">
      <c r="D107" s="66"/>
      <c r="E107" s="66"/>
      <c r="F107" s="66"/>
      <c r="G107" s="66"/>
      <c r="H107" s="66"/>
      <c r="I107" s="66"/>
      <c r="J107" s="66"/>
    </row>
    <row r="108" ht="12.75" customHeight="1">
      <c r="D108" s="66"/>
      <c r="E108" s="66"/>
      <c r="F108" s="66"/>
      <c r="G108" s="66"/>
      <c r="H108" s="66"/>
      <c r="I108" s="66"/>
      <c r="J108" s="66"/>
    </row>
    <row r="109" ht="12.75" customHeight="1">
      <c r="D109" s="66"/>
      <c r="E109" s="66"/>
      <c r="F109" s="66"/>
      <c r="G109" s="66"/>
      <c r="H109" s="66"/>
      <c r="I109" s="66"/>
      <c r="J109" s="66"/>
    </row>
    <row r="110" ht="12.75" customHeight="1">
      <c r="D110" s="66"/>
      <c r="E110" s="66"/>
      <c r="F110" s="66"/>
      <c r="G110" s="66"/>
      <c r="H110" s="66"/>
      <c r="I110" s="66"/>
      <c r="J110" s="66"/>
    </row>
    <row r="111" ht="12.75" customHeight="1">
      <c r="D111" s="66"/>
      <c r="E111" s="66"/>
      <c r="F111" s="66"/>
      <c r="G111" s="66"/>
      <c r="H111" s="66"/>
      <c r="I111" s="66"/>
      <c r="J111" s="66"/>
    </row>
    <row r="112" ht="12.75" customHeight="1">
      <c r="D112" s="66"/>
      <c r="E112" s="66"/>
      <c r="F112" s="66"/>
      <c r="G112" s="66"/>
      <c r="H112" s="66"/>
      <c r="I112" s="66"/>
      <c r="J112" s="66"/>
    </row>
    <row r="113" ht="12.75" customHeight="1">
      <c r="D113" s="66"/>
      <c r="E113" s="66"/>
      <c r="F113" s="66"/>
      <c r="G113" s="66"/>
      <c r="H113" s="66"/>
      <c r="I113" s="66"/>
      <c r="J113" s="66"/>
    </row>
    <row r="114" ht="12.75" customHeight="1">
      <c r="D114" s="66"/>
      <c r="E114" s="66"/>
      <c r="F114" s="66"/>
      <c r="G114" s="66"/>
      <c r="H114" s="66"/>
      <c r="I114" s="66"/>
      <c r="J114" s="66"/>
    </row>
    <row r="115" ht="12.75" customHeight="1">
      <c r="D115" s="66"/>
      <c r="E115" s="66"/>
      <c r="F115" s="66"/>
      <c r="G115" s="66"/>
      <c r="H115" s="66"/>
      <c r="I115" s="66"/>
      <c r="J115" s="66"/>
    </row>
    <row r="116" ht="12.75" customHeight="1">
      <c r="D116" s="66"/>
      <c r="E116" s="66"/>
      <c r="F116" s="66"/>
      <c r="G116" s="66"/>
      <c r="H116" s="66"/>
      <c r="I116" s="66"/>
      <c r="J116" s="66"/>
    </row>
    <row r="117" ht="12.75" customHeight="1">
      <c r="D117" s="66"/>
      <c r="E117" s="66"/>
      <c r="F117" s="66"/>
      <c r="G117" s="66"/>
      <c r="H117" s="66"/>
      <c r="I117" s="66"/>
      <c r="J117" s="66"/>
    </row>
    <row r="118" ht="12.75" customHeight="1">
      <c r="D118" s="66"/>
      <c r="E118" s="66"/>
      <c r="F118" s="66"/>
      <c r="G118" s="66"/>
      <c r="H118" s="66"/>
      <c r="I118" s="66"/>
      <c r="J118" s="66"/>
    </row>
    <row r="119" ht="12.75" customHeight="1">
      <c r="D119" s="66"/>
      <c r="E119" s="66"/>
      <c r="F119" s="66"/>
      <c r="G119" s="66"/>
      <c r="H119" s="66"/>
      <c r="I119" s="66"/>
      <c r="J119" s="66"/>
    </row>
    <row r="120" ht="12.75" customHeight="1">
      <c r="D120" s="66"/>
      <c r="E120" s="66"/>
      <c r="F120" s="66"/>
      <c r="G120" s="66"/>
      <c r="H120" s="66"/>
      <c r="I120" s="66"/>
      <c r="J120" s="66"/>
    </row>
    <row r="121" ht="12.75" customHeight="1">
      <c r="D121" s="66"/>
      <c r="E121" s="66"/>
      <c r="F121" s="66"/>
      <c r="G121" s="66"/>
      <c r="H121" s="66"/>
      <c r="I121" s="66"/>
      <c r="J121" s="66"/>
    </row>
    <row r="122" ht="12.75" customHeight="1">
      <c r="D122" s="66"/>
      <c r="E122" s="66"/>
      <c r="F122" s="66"/>
      <c r="G122" s="66"/>
      <c r="H122" s="66"/>
      <c r="I122" s="66"/>
      <c r="J122" s="66"/>
    </row>
    <row r="123" ht="12.75" customHeight="1">
      <c r="D123" s="66"/>
      <c r="E123" s="66"/>
      <c r="F123" s="66"/>
      <c r="G123" s="66"/>
      <c r="H123" s="66"/>
      <c r="I123" s="66"/>
      <c r="J123" s="66"/>
    </row>
    <row r="124" ht="12.75" customHeight="1">
      <c r="D124" s="66"/>
      <c r="E124" s="66"/>
      <c r="F124" s="66"/>
      <c r="G124" s="66"/>
      <c r="H124" s="66"/>
      <c r="I124" s="66"/>
      <c r="J124" s="66"/>
    </row>
    <row r="125" ht="12.75" customHeight="1">
      <c r="D125" s="66"/>
      <c r="E125" s="66"/>
      <c r="F125" s="66"/>
      <c r="G125" s="66"/>
      <c r="H125" s="66"/>
      <c r="I125" s="66"/>
      <c r="J125" s="66"/>
    </row>
    <row r="126" ht="12.75" customHeight="1">
      <c r="D126" s="66"/>
      <c r="E126" s="66"/>
      <c r="F126" s="66"/>
      <c r="G126" s="66"/>
      <c r="H126" s="66"/>
      <c r="I126" s="66"/>
      <c r="J126" s="66"/>
    </row>
    <row r="127" ht="12.75" customHeight="1">
      <c r="D127" s="66"/>
      <c r="E127" s="66"/>
      <c r="F127" s="66"/>
      <c r="G127" s="66"/>
      <c r="H127" s="66"/>
      <c r="I127" s="66"/>
      <c r="J127" s="66"/>
    </row>
    <row r="128" ht="12.75" customHeight="1">
      <c r="D128" s="66"/>
      <c r="E128" s="66"/>
      <c r="F128" s="66"/>
      <c r="G128" s="66"/>
      <c r="H128" s="66"/>
      <c r="I128" s="66"/>
      <c r="J128" s="66"/>
    </row>
    <row r="129" ht="12.75" customHeight="1">
      <c r="D129" s="66"/>
      <c r="E129" s="66"/>
      <c r="F129" s="66"/>
      <c r="G129" s="66"/>
      <c r="H129" s="66"/>
      <c r="I129" s="66"/>
      <c r="J129" s="66"/>
    </row>
    <row r="130" ht="12.75" customHeight="1">
      <c r="D130" s="66"/>
      <c r="E130" s="66"/>
      <c r="F130" s="66"/>
      <c r="G130" s="66"/>
      <c r="H130" s="66"/>
      <c r="I130" s="66"/>
      <c r="J130" s="66"/>
    </row>
    <row r="131" ht="12.75" customHeight="1">
      <c r="D131" s="66"/>
      <c r="E131" s="66"/>
      <c r="F131" s="66"/>
      <c r="G131" s="66"/>
      <c r="H131" s="66"/>
      <c r="I131" s="66"/>
      <c r="J131" s="66"/>
    </row>
    <row r="132" ht="12.75" customHeight="1">
      <c r="D132" s="66"/>
      <c r="E132" s="66"/>
      <c r="F132" s="66"/>
      <c r="G132" s="66"/>
      <c r="H132" s="66"/>
      <c r="I132" s="66"/>
      <c r="J132" s="66"/>
    </row>
    <row r="133" ht="12.75" customHeight="1">
      <c r="D133" s="66"/>
      <c r="E133" s="66"/>
      <c r="F133" s="66"/>
      <c r="G133" s="66"/>
      <c r="H133" s="66"/>
      <c r="I133" s="66"/>
      <c r="J133" s="66"/>
    </row>
    <row r="134" ht="12.75" customHeight="1">
      <c r="D134" s="66"/>
      <c r="E134" s="66"/>
      <c r="F134" s="66"/>
      <c r="G134" s="66"/>
      <c r="H134" s="66"/>
      <c r="I134" s="66"/>
      <c r="J134" s="66"/>
    </row>
    <row r="135" ht="12.75" customHeight="1">
      <c r="D135" s="66"/>
      <c r="E135" s="66"/>
      <c r="F135" s="66"/>
      <c r="G135" s="66"/>
      <c r="H135" s="66"/>
      <c r="I135" s="66"/>
      <c r="J135" s="66"/>
    </row>
    <row r="136" ht="12.75" customHeight="1">
      <c r="D136" s="66"/>
      <c r="E136" s="66"/>
      <c r="F136" s="66"/>
      <c r="G136" s="66"/>
      <c r="H136" s="66"/>
      <c r="I136" s="66"/>
      <c r="J136" s="66"/>
    </row>
    <row r="137" ht="12.75" customHeight="1">
      <c r="D137" s="66"/>
      <c r="E137" s="66"/>
      <c r="F137" s="66"/>
      <c r="G137" s="66"/>
      <c r="H137" s="66"/>
      <c r="I137" s="66"/>
      <c r="J137" s="66"/>
    </row>
    <row r="138" ht="12.75" customHeight="1">
      <c r="D138" s="66"/>
      <c r="E138" s="66"/>
      <c r="F138" s="66"/>
      <c r="G138" s="66"/>
      <c r="H138" s="66"/>
      <c r="I138" s="66"/>
      <c r="J138" s="66"/>
    </row>
    <row r="139" ht="12.75" customHeight="1">
      <c r="D139" s="66"/>
      <c r="E139" s="66"/>
      <c r="F139" s="66"/>
      <c r="G139" s="66"/>
      <c r="H139" s="66"/>
      <c r="I139" s="66"/>
      <c r="J139" s="66"/>
    </row>
    <row r="140" ht="12.75" customHeight="1">
      <c r="D140" s="66"/>
      <c r="E140" s="66"/>
      <c r="F140" s="66"/>
      <c r="G140" s="66"/>
      <c r="H140" s="66"/>
      <c r="I140" s="66"/>
      <c r="J140" s="66"/>
    </row>
    <row r="141" ht="12.75" customHeight="1">
      <c r="D141" s="66"/>
      <c r="E141" s="66"/>
      <c r="F141" s="66"/>
      <c r="G141" s="66"/>
      <c r="H141" s="66"/>
      <c r="I141" s="66"/>
      <c r="J141" s="66"/>
    </row>
    <row r="142" ht="12.75" customHeight="1">
      <c r="D142" s="66"/>
      <c r="E142" s="66"/>
      <c r="F142" s="66"/>
      <c r="G142" s="66"/>
      <c r="H142" s="66"/>
      <c r="I142" s="66"/>
      <c r="J142" s="66"/>
    </row>
    <row r="143" ht="12.75" customHeight="1">
      <c r="D143" s="66"/>
      <c r="E143" s="66"/>
      <c r="F143" s="66"/>
      <c r="G143" s="66"/>
      <c r="H143" s="66"/>
      <c r="I143" s="66"/>
      <c r="J143" s="66"/>
    </row>
    <row r="144" ht="12.75" customHeight="1">
      <c r="D144" s="66"/>
      <c r="E144" s="66"/>
      <c r="F144" s="66"/>
      <c r="G144" s="66"/>
      <c r="H144" s="66"/>
      <c r="I144" s="66"/>
      <c r="J144" s="66"/>
    </row>
    <row r="145" ht="12.75" customHeight="1">
      <c r="D145" s="66"/>
      <c r="E145" s="66"/>
      <c r="F145" s="66"/>
      <c r="G145" s="66"/>
      <c r="H145" s="66"/>
      <c r="I145" s="66"/>
      <c r="J145" s="66"/>
    </row>
    <row r="146" ht="12.75" customHeight="1">
      <c r="D146" s="66"/>
      <c r="E146" s="66"/>
      <c r="F146" s="66"/>
      <c r="G146" s="66"/>
      <c r="H146" s="66"/>
      <c r="I146" s="66"/>
      <c r="J146" s="66"/>
    </row>
    <row r="147" ht="12.75" customHeight="1">
      <c r="D147" s="66"/>
      <c r="E147" s="66"/>
      <c r="F147" s="66"/>
      <c r="G147" s="66"/>
      <c r="H147" s="66"/>
      <c r="I147" s="66"/>
      <c r="J147" s="66"/>
    </row>
    <row r="148" ht="12.75" customHeight="1">
      <c r="D148" s="66"/>
      <c r="E148" s="66"/>
      <c r="F148" s="66"/>
      <c r="G148" s="66"/>
      <c r="H148" s="66"/>
      <c r="I148" s="66"/>
      <c r="J148" s="66"/>
    </row>
    <row r="149" ht="12.75" customHeight="1">
      <c r="D149" s="66"/>
      <c r="E149" s="66"/>
      <c r="F149" s="66"/>
      <c r="G149" s="66"/>
      <c r="H149" s="66"/>
      <c r="I149" s="66"/>
      <c r="J149" s="66"/>
    </row>
    <row r="150" ht="12.75" customHeight="1">
      <c r="D150" s="66"/>
      <c r="E150" s="66"/>
      <c r="F150" s="66"/>
      <c r="G150" s="66"/>
      <c r="H150" s="66"/>
      <c r="I150" s="66"/>
      <c r="J150" s="66"/>
    </row>
    <row r="151" ht="12.75" customHeight="1">
      <c r="D151" s="66"/>
      <c r="E151" s="66"/>
      <c r="F151" s="66"/>
      <c r="G151" s="66"/>
      <c r="H151" s="66"/>
      <c r="I151" s="66"/>
      <c r="J151" s="66"/>
    </row>
    <row r="152" ht="12.75" customHeight="1">
      <c r="D152" s="66"/>
      <c r="E152" s="66"/>
      <c r="F152" s="66"/>
      <c r="G152" s="66"/>
      <c r="H152" s="66"/>
      <c r="I152" s="66"/>
      <c r="J152" s="66"/>
    </row>
    <row r="153" ht="12.75" customHeight="1">
      <c r="D153" s="66"/>
      <c r="E153" s="66"/>
      <c r="F153" s="66"/>
      <c r="G153" s="66"/>
      <c r="H153" s="66"/>
      <c r="I153" s="66"/>
      <c r="J153" s="66"/>
    </row>
    <row r="154" ht="12.75" customHeight="1">
      <c r="D154" s="66"/>
      <c r="E154" s="66"/>
      <c r="F154" s="66"/>
      <c r="G154" s="66"/>
      <c r="H154" s="66"/>
      <c r="I154" s="66"/>
      <c r="J154" s="66"/>
    </row>
    <row r="155" ht="12.75" customHeight="1">
      <c r="D155" s="66"/>
      <c r="E155" s="66"/>
      <c r="F155" s="66"/>
      <c r="G155" s="66"/>
      <c r="H155" s="66"/>
      <c r="I155" s="66"/>
      <c r="J155" s="66"/>
    </row>
    <row r="156" ht="12.75" customHeight="1">
      <c r="D156" s="66"/>
      <c r="E156" s="66"/>
      <c r="F156" s="66"/>
      <c r="G156" s="66"/>
      <c r="H156" s="66"/>
      <c r="I156" s="66"/>
      <c r="J156" s="66"/>
    </row>
    <row r="157" ht="12.75" customHeight="1">
      <c r="D157" s="66"/>
      <c r="E157" s="66"/>
      <c r="F157" s="66"/>
      <c r="G157" s="66"/>
      <c r="H157" s="66"/>
      <c r="I157" s="66"/>
      <c r="J157" s="66"/>
    </row>
    <row r="158" ht="12.75" customHeight="1">
      <c r="D158" s="66"/>
      <c r="E158" s="66"/>
      <c r="F158" s="66"/>
      <c r="G158" s="66"/>
      <c r="H158" s="66"/>
      <c r="I158" s="66"/>
      <c r="J158" s="66"/>
    </row>
    <row r="159" ht="12.75" customHeight="1">
      <c r="D159" s="66"/>
      <c r="E159" s="66"/>
      <c r="F159" s="66"/>
      <c r="G159" s="66"/>
      <c r="H159" s="66"/>
      <c r="I159" s="66"/>
      <c r="J159" s="66"/>
    </row>
    <row r="160" ht="12.75" customHeight="1">
      <c r="D160" s="66"/>
      <c r="E160" s="66"/>
      <c r="F160" s="66"/>
      <c r="G160" s="66"/>
      <c r="H160" s="66"/>
      <c r="I160" s="66"/>
      <c r="J160" s="66"/>
    </row>
    <row r="161" ht="12.75" customHeight="1">
      <c r="D161" s="66"/>
      <c r="E161" s="66"/>
      <c r="F161" s="66"/>
      <c r="G161" s="66"/>
      <c r="H161" s="66"/>
      <c r="I161" s="66"/>
      <c r="J161" s="66"/>
    </row>
    <row r="162" ht="12.75" customHeight="1">
      <c r="D162" s="66"/>
      <c r="E162" s="66"/>
      <c r="F162" s="66"/>
      <c r="G162" s="66"/>
      <c r="H162" s="66"/>
      <c r="I162" s="66"/>
      <c r="J162" s="66"/>
    </row>
    <row r="163" ht="12.75" customHeight="1">
      <c r="D163" s="66"/>
      <c r="E163" s="66"/>
      <c r="F163" s="66"/>
      <c r="G163" s="66"/>
      <c r="H163" s="66"/>
      <c r="I163" s="66"/>
      <c r="J163" s="66"/>
    </row>
    <row r="164" ht="12.75" customHeight="1">
      <c r="D164" s="66"/>
      <c r="E164" s="66"/>
      <c r="F164" s="66"/>
      <c r="G164" s="66"/>
      <c r="H164" s="66"/>
      <c r="I164" s="66"/>
      <c r="J164" s="66"/>
    </row>
    <row r="165" ht="12.75" customHeight="1">
      <c r="D165" s="66"/>
      <c r="E165" s="66"/>
      <c r="F165" s="66"/>
      <c r="G165" s="66"/>
      <c r="H165" s="66"/>
      <c r="I165" s="66"/>
      <c r="J165" s="66"/>
    </row>
    <row r="166" ht="12.75" customHeight="1">
      <c r="D166" s="66"/>
      <c r="E166" s="66"/>
      <c r="F166" s="66"/>
      <c r="G166" s="66"/>
      <c r="H166" s="66"/>
      <c r="I166" s="66"/>
      <c r="J166" s="66"/>
    </row>
    <row r="167" ht="12.75" customHeight="1">
      <c r="D167" s="66"/>
      <c r="E167" s="66"/>
      <c r="F167" s="66"/>
      <c r="G167" s="66"/>
      <c r="H167" s="66"/>
      <c r="I167" s="66"/>
      <c r="J167" s="66"/>
    </row>
    <row r="168" ht="12.75" customHeight="1">
      <c r="D168" s="66"/>
      <c r="E168" s="66"/>
      <c r="F168" s="66"/>
      <c r="G168" s="66"/>
      <c r="H168" s="66"/>
      <c r="I168" s="66"/>
      <c r="J168" s="66"/>
    </row>
    <row r="169" ht="12.75" customHeight="1">
      <c r="D169" s="66"/>
      <c r="E169" s="66"/>
      <c r="F169" s="66"/>
      <c r="G169" s="66"/>
      <c r="H169" s="66"/>
      <c r="I169" s="66"/>
      <c r="J169" s="66"/>
    </row>
    <row r="170" ht="12.75" customHeight="1">
      <c r="D170" s="66"/>
      <c r="E170" s="66"/>
      <c r="F170" s="66"/>
      <c r="G170" s="66"/>
      <c r="H170" s="66"/>
      <c r="I170" s="66"/>
      <c r="J170" s="66"/>
    </row>
    <row r="171" ht="12.75" customHeight="1">
      <c r="D171" s="66"/>
      <c r="E171" s="66"/>
      <c r="F171" s="66"/>
      <c r="G171" s="66"/>
      <c r="H171" s="66"/>
      <c r="I171" s="66"/>
      <c r="J171" s="66"/>
    </row>
    <row r="172" ht="12.75" customHeight="1">
      <c r="D172" s="66"/>
      <c r="E172" s="66"/>
      <c r="F172" s="66"/>
      <c r="G172" s="66"/>
      <c r="H172" s="66"/>
      <c r="I172" s="66"/>
      <c r="J172" s="66"/>
    </row>
    <row r="173" ht="12.75" customHeight="1">
      <c r="D173" s="66"/>
      <c r="E173" s="66"/>
      <c r="F173" s="66"/>
      <c r="G173" s="66"/>
      <c r="H173" s="66"/>
      <c r="I173" s="66"/>
      <c r="J173" s="66"/>
    </row>
    <row r="174" ht="12.75" customHeight="1">
      <c r="D174" s="66"/>
      <c r="E174" s="66"/>
      <c r="F174" s="66"/>
      <c r="G174" s="66"/>
      <c r="H174" s="66"/>
      <c r="I174" s="66"/>
      <c r="J174" s="66"/>
    </row>
    <row r="175" ht="12.75" customHeight="1">
      <c r="D175" s="66"/>
      <c r="E175" s="66"/>
      <c r="F175" s="66"/>
      <c r="G175" s="66"/>
      <c r="H175" s="66"/>
      <c r="I175" s="66"/>
      <c r="J175" s="66"/>
    </row>
    <row r="176" ht="12.75" customHeight="1">
      <c r="D176" s="66"/>
      <c r="E176" s="66"/>
      <c r="F176" s="66"/>
      <c r="G176" s="66"/>
      <c r="H176" s="66"/>
      <c r="I176" s="66"/>
      <c r="J176" s="66"/>
    </row>
    <row r="177" ht="12.75" customHeight="1">
      <c r="D177" s="66"/>
      <c r="E177" s="66"/>
      <c r="F177" s="66"/>
      <c r="G177" s="66"/>
      <c r="H177" s="66"/>
      <c r="I177" s="66"/>
      <c r="J177" s="66"/>
    </row>
    <row r="178" ht="12.75" customHeight="1">
      <c r="D178" s="66"/>
      <c r="E178" s="66"/>
      <c r="F178" s="66"/>
      <c r="G178" s="66"/>
      <c r="H178" s="66"/>
      <c r="I178" s="66"/>
      <c r="J178" s="66"/>
    </row>
    <row r="179" ht="12.75" customHeight="1">
      <c r="D179" s="66"/>
      <c r="E179" s="66"/>
      <c r="F179" s="66"/>
      <c r="G179" s="66"/>
      <c r="H179" s="66"/>
      <c r="I179" s="66"/>
      <c r="J179" s="66"/>
    </row>
    <row r="180" ht="12.75" customHeight="1">
      <c r="D180" s="66"/>
      <c r="E180" s="66"/>
      <c r="F180" s="66"/>
      <c r="G180" s="66"/>
      <c r="H180" s="66"/>
      <c r="I180" s="66"/>
      <c r="J180" s="66"/>
    </row>
    <row r="181" ht="12.75" customHeight="1">
      <c r="D181" s="66"/>
      <c r="E181" s="66"/>
      <c r="F181" s="66"/>
      <c r="G181" s="66"/>
      <c r="H181" s="66"/>
      <c r="I181" s="66"/>
      <c r="J181" s="66"/>
    </row>
    <row r="182" ht="12.75" customHeight="1">
      <c r="D182" s="66"/>
      <c r="E182" s="66"/>
      <c r="F182" s="66"/>
      <c r="G182" s="66"/>
      <c r="H182" s="66"/>
      <c r="I182" s="66"/>
      <c r="J182" s="66"/>
    </row>
    <row r="183" ht="12.75" customHeight="1">
      <c r="D183" s="66"/>
      <c r="E183" s="66"/>
      <c r="F183" s="66"/>
      <c r="G183" s="66"/>
      <c r="H183" s="66"/>
      <c r="I183" s="66"/>
      <c r="J183" s="66"/>
    </row>
    <row r="184" ht="12.75" customHeight="1">
      <c r="D184" s="66"/>
      <c r="E184" s="66"/>
      <c r="F184" s="66"/>
      <c r="G184" s="66"/>
      <c r="H184" s="66"/>
      <c r="I184" s="66"/>
      <c r="J184" s="66"/>
    </row>
    <row r="185" ht="12.75" customHeight="1">
      <c r="D185" s="66"/>
      <c r="E185" s="66"/>
      <c r="F185" s="66"/>
      <c r="G185" s="66"/>
      <c r="H185" s="66"/>
      <c r="I185" s="66"/>
      <c r="J185" s="66"/>
    </row>
    <row r="186" ht="12.75" customHeight="1">
      <c r="D186" s="66"/>
      <c r="E186" s="66"/>
      <c r="F186" s="66"/>
      <c r="G186" s="66"/>
      <c r="H186" s="66"/>
      <c r="I186" s="66"/>
      <c r="J186" s="66"/>
    </row>
    <row r="187" ht="12.75" customHeight="1">
      <c r="D187" s="66"/>
      <c r="E187" s="66"/>
      <c r="F187" s="66"/>
      <c r="G187" s="66"/>
      <c r="H187" s="66"/>
      <c r="I187" s="66"/>
      <c r="J187" s="66"/>
    </row>
    <row r="188" ht="12.75" customHeight="1">
      <c r="D188" s="66"/>
      <c r="E188" s="66"/>
      <c r="F188" s="66"/>
      <c r="G188" s="66"/>
      <c r="H188" s="66"/>
      <c r="I188" s="66"/>
      <c r="J188" s="66"/>
    </row>
    <row r="189" ht="12.75" customHeight="1">
      <c r="D189" s="66"/>
      <c r="E189" s="66"/>
      <c r="F189" s="66"/>
      <c r="G189" s="66"/>
      <c r="H189" s="66"/>
      <c r="I189" s="66"/>
      <c r="J189" s="66"/>
    </row>
    <row r="190" ht="12.75" customHeight="1">
      <c r="D190" s="66"/>
      <c r="E190" s="66"/>
      <c r="F190" s="66"/>
      <c r="G190" s="66"/>
      <c r="H190" s="66"/>
      <c r="I190" s="66"/>
      <c r="J190" s="66"/>
    </row>
    <row r="191" ht="12.75" customHeight="1">
      <c r="D191" s="66"/>
      <c r="E191" s="66"/>
      <c r="F191" s="66"/>
      <c r="G191" s="66"/>
      <c r="H191" s="66"/>
      <c r="I191" s="66"/>
      <c r="J191" s="66"/>
    </row>
    <row r="192" ht="12.75" customHeight="1">
      <c r="D192" s="66"/>
      <c r="E192" s="66"/>
      <c r="F192" s="66"/>
      <c r="G192" s="66"/>
      <c r="H192" s="66"/>
      <c r="I192" s="66"/>
      <c r="J192" s="66"/>
    </row>
    <row r="193" ht="12.75" customHeight="1">
      <c r="D193" s="66"/>
      <c r="E193" s="66"/>
      <c r="F193" s="66"/>
      <c r="G193" s="66"/>
      <c r="H193" s="66"/>
      <c r="I193" s="66"/>
      <c r="J193" s="66"/>
    </row>
    <row r="194" ht="12.75" customHeight="1">
      <c r="D194" s="66"/>
      <c r="E194" s="66"/>
      <c r="F194" s="66"/>
      <c r="G194" s="66"/>
      <c r="H194" s="66"/>
      <c r="I194" s="66"/>
      <c r="J194" s="66"/>
    </row>
    <row r="195" ht="12.75" customHeight="1">
      <c r="D195" s="66"/>
      <c r="E195" s="66"/>
      <c r="F195" s="66"/>
      <c r="G195" s="66"/>
      <c r="H195" s="66"/>
      <c r="I195" s="66"/>
      <c r="J195" s="66"/>
    </row>
    <row r="196" ht="12.75" customHeight="1">
      <c r="D196" s="66"/>
      <c r="E196" s="66"/>
      <c r="F196" s="66"/>
      <c r="G196" s="66"/>
      <c r="H196" s="66"/>
      <c r="I196" s="66"/>
      <c r="J196" s="66"/>
    </row>
    <row r="197" ht="12.75" customHeight="1">
      <c r="D197" s="66"/>
      <c r="E197" s="66"/>
      <c r="F197" s="66"/>
      <c r="G197" s="66"/>
      <c r="H197" s="66"/>
      <c r="I197" s="66"/>
      <c r="J197" s="66"/>
    </row>
    <row r="198" ht="12.75" customHeight="1">
      <c r="D198" s="66"/>
      <c r="E198" s="66"/>
      <c r="F198" s="66"/>
      <c r="G198" s="66"/>
      <c r="H198" s="66"/>
      <c r="I198" s="66"/>
      <c r="J198" s="66"/>
    </row>
    <row r="199" ht="12.75" customHeight="1">
      <c r="D199" s="66"/>
      <c r="E199" s="66"/>
      <c r="F199" s="66"/>
      <c r="G199" s="66"/>
      <c r="H199" s="66"/>
      <c r="I199" s="66"/>
      <c r="J199" s="66"/>
    </row>
    <row r="200" ht="12.75" customHeight="1">
      <c r="D200" s="66"/>
      <c r="E200" s="66"/>
      <c r="F200" s="66"/>
      <c r="G200" s="66"/>
      <c r="H200" s="66"/>
      <c r="I200" s="66"/>
      <c r="J200" s="66"/>
    </row>
    <row r="201" ht="12.75" customHeight="1">
      <c r="D201" s="66"/>
      <c r="E201" s="66"/>
      <c r="F201" s="66"/>
      <c r="G201" s="66"/>
      <c r="H201" s="66"/>
      <c r="I201" s="66"/>
      <c r="J201" s="66"/>
    </row>
    <row r="202" ht="12.75" customHeight="1">
      <c r="D202" s="66"/>
      <c r="E202" s="66"/>
      <c r="F202" s="66"/>
      <c r="G202" s="66"/>
      <c r="H202" s="66"/>
      <c r="I202" s="66"/>
      <c r="J202" s="66"/>
    </row>
    <row r="203" ht="12.75" customHeight="1">
      <c r="D203" s="66"/>
      <c r="E203" s="66"/>
      <c r="F203" s="66"/>
      <c r="G203" s="66"/>
      <c r="H203" s="66"/>
      <c r="I203" s="66"/>
      <c r="J203" s="66"/>
    </row>
    <row r="204" ht="12.75" customHeight="1">
      <c r="D204" s="66"/>
      <c r="E204" s="66"/>
      <c r="F204" s="66"/>
      <c r="G204" s="66"/>
      <c r="H204" s="66"/>
      <c r="I204" s="66"/>
      <c r="J204" s="66"/>
    </row>
    <row r="205" ht="12.75" customHeight="1">
      <c r="D205" s="66"/>
      <c r="E205" s="66"/>
      <c r="F205" s="66"/>
      <c r="G205" s="66"/>
      <c r="H205" s="66"/>
      <c r="I205" s="66"/>
      <c r="J205" s="66"/>
    </row>
    <row r="206" ht="12.75" customHeight="1">
      <c r="D206" s="66"/>
      <c r="E206" s="66"/>
      <c r="F206" s="66"/>
      <c r="G206" s="66"/>
      <c r="H206" s="66"/>
      <c r="I206" s="66"/>
      <c r="J206" s="66"/>
    </row>
    <row r="207" ht="12.75" customHeight="1">
      <c r="D207" s="66"/>
      <c r="E207" s="66"/>
      <c r="F207" s="66"/>
      <c r="G207" s="66"/>
      <c r="H207" s="66"/>
      <c r="I207" s="66"/>
      <c r="J207" s="66"/>
    </row>
    <row r="208" ht="12.75" customHeight="1">
      <c r="D208" s="66"/>
      <c r="E208" s="66"/>
      <c r="F208" s="66"/>
      <c r="G208" s="66"/>
      <c r="H208" s="66"/>
      <c r="I208" s="66"/>
      <c r="J208" s="66"/>
    </row>
    <row r="209" ht="12.75" customHeight="1">
      <c r="D209" s="66"/>
      <c r="E209" s="66"/>
      <c r="F209" s="66"/>
      <c r="G209" s="66"/>
      <c r="H209" s="66"/>
      <c r="I209" s="66"/>
      <c r="J209" s="66"/>
    </row>
    <row r="210" ht="12.75" customHeight="1">
      <c r="D210" s="66"/>
      <c r="E210" s="66"/>
      <c r="F210" s="66"/>
      <c r="G210" s="66"/>
      <c r="H210" s="66"/>
      <c r="I210" s="66"/>
      <c r="J210" s="66"/>
    </row>
    <row r="211" ht="12.75" customHeight="1">
      <c r="D211" s="66"/>
      <c r="E211" s="66"/>
      <c r="F211" s="66"/>
      <c r="G211" s="66"/>
      <c r="H211" s="66"/>
      <c r="I211" s="66"/>
      <c r="J211" s="66"/>
    </row>
    <row r="212" ht="12.75" customHeight="1">
      <c r="D212" s="66"/>
      <c r="E212" s="66"/>
      <c r="F212" s="66"/>
      <c r="G212" s="66"/>
      <c r="H212" s="66"/>
      <c r="I212" s="66"/>
      <c r="J212" s="66"/>
    </row>
    <row r="213" ht="12.75" customHeight="1">
      <c r="D213" s="66"/>
      <c r="E213" s="66"/>
      <c r="F213" s="66"/>
      <c r="G213" s="66"/>
      <c r="H213" s="66"/>
      <c r="I213" s="66"/>
      <c r="J213" s="66"/>
    </row>
    <row r="214" ht="12.75" customHeight="1">
      <c r="D214" s="66"/>
      <c r="E214" s="66"/>
      <c r="F214" s="66"/>
      <c r="G214" s="66"/>
      <c r="H214" s="66"/>
      <c r="I214" s="66"/>
      <c r="J214" s="66"/>
    </row>
    <row r="215" ht="12.75" customHeight="1">
      <c r="D215" s="66"/>
      <c r="E215" s="66"/>
      <c r="F215" s="66"/>
      <c r="G215" s="66"/>
      <c r="H215" s="66"/>
      <c r="I215" s="66"/>
      <c r="J215" s="66"/>
    </row>
    <row r="216" ht="12.75" customHeight="1">
      <c r="D216" s="66"/>
      <c r="E216" s="66"/>
      <c r="F216" s="66"/>
      <c r="G216" s="66"/>
      <c r="H216" s="66"/>
      <c r="I216" s="66"/>
      <c r="J216" s="66"/>
    </row>
    <row r="217" ht="12.75" customHeight="1">
      <c r="D217" s="66"/>
      <c r="E217" s="66"/>
      <c r="F217" s="66"/>
      <c r="G217" s="66"/>
      <c r="H217" s="66"/>
      <c r="I217" s="66"/>
      <c r="J217" s="66"/>
    </row>
    <row r="218" ht="12.75" customHeight="1">
      <c r="D218" s="66"/>
      <c r="E218" s="66"/>
      <c r="F218" s="66"/>
      <c r="G218" s="66"/>
      <c r="H218" s="66"/>
      <c r="I218" s="66"/>
      <c r="J218" s="66"/>
    </row>
    <row r="219" ht="12.75" customHeight="1">
      <c r="D219" s="66"/>
      <c r="E219" s="66"/>
      <c r="F219" s="66"/>
      <c r="G219" s="66"/>
      <c r="H219" s="66"/>
      <c r="I219" s="66"/>
      <c r="J219" s="66"/>
    </row>
    <row r="220" ht="12.75" customHeight="1">
      <c r="D220" s="66"/>
      <c r="E220" s="66"/>
      <c r="F220" s="66"/>
      <c r="G220" s="66"/>
      <c r="H220" s="66"/>
      <c r="I220" s="66"/>
      <c r="J220" s="66"/>
    </row>
    <row r="221" ht="12.75" customHeight="1">
      <c r="D221" s="66"/>
      <c r="E221" s="66"/>
      <c r="F221" s="66"/>
      <c r="G221" s="66"/>
      <c r="H221" s="66"/>
      <c r="I221" s="66"/>
      <c r="J221" s="66"/>
    </row>
    <row r="222" ht="12.75" customHeight="1">
      <c r="D222" s="66"/>
      <c r="E222" s="66"/>
      <c r="F222" s="66"/>
      <c r="G222" s="66"/>
      <c r="H222" s="66"/>
      <c r="I222" s="66"/>
      <c r="J222" s="66"/>
    </row>
    <row r="223" ht="12.75" customHeight="1">
      <c r="D223" s="66"/>
      <c r="E223" s="66"/>
      <c r="F223" s="66"/>
      <c r="G223" s="66"/>
      <c r="H223" s="66"/>
      <c r="I223" s="66"/>
      <c r="J223" s="66"/>
    </row>
    <row r="224" ht="12.75" customHeight="1">
      <c r="D224" s="66"/>
      <c r="E224" s="66"/>
      <c r="F224" s="66"/>
      <c r="G224" s="66"/>
      <c r="H224" s="66"/>
      <c r="I224" s="66"/>
      <c r="J224" s="66"/>
    </row>
    <row r="225" ht="12.75" customHeight="1">
      <c r="D225" s="66"/>
      <c r="E225" s="66"/>
      <c r="F225" s="66"/>
      <c r="G225" s="66"/>
      <c r="H225" s="66"/>
      <c r="I225" s="66"/>
      <c r="J225" s="66"/>
    </row>
    <row r="226" ht="12.75" customHeight="1">
      <c r="D226" s="66"/>
      <c r="E226" s="66"/>
      <c r="F226" s="66"/>
      <c r="G226" s="66"/>
      <c r="H226" s="66"/>
      <c r="I226" s="66"/>
      <c r="J226" s="66"/>
    </row>
    <row r="227" ht="12.75" customHeight="1">
      <c r="D227" s="66"/>
      <c r="E227" s="66"/>
      <c r="F227" s="66"/>
      <c r="G227" s="66"/>
      <c r="H227" s="66"/>
      <c r="I227" s="66"/>
      <c r="J227" s="66"/>
    </row>
    <row r="228" ht="12.75" customHeight="1">
      <c r="D228" s="66"/>
      <c r="E228" s="66"/>
      <c r="F228" s="66"/>
      <c r="G228" s="66"/>
      <c r="H228" s="66"/>
      <c r="I228" s="66"/>
      <c r="J228" s="66"/>
    </row>
    <row r="229" ht="12.75" customHeight="1">
      <c r="D229" s="66"/>
      <c r="E229" s="66"/>
      <c r="F229" s="66"/>
      <c r="G229" s="66"/>
      <c r="H229" s="66"/>
      <c r="I229" s="66"/>
      <c r="J229" s="66"/>
    </row>
    <row r="230" ht="12.75" customHeight="1">
      <c r="D230" s="66"/>
      <c r="E230" s="66"/>
      <c r="F230" s="66"/>
      <c r="G230" s="66"/>
      <c r="H230" s="66"/>
      <c r="I230" s="66"/>
      <c r="J230" s="66"/>
    </row>
    <row r="231" ht="12.75" customHeight="1">
      <c r="D231" s="66"/>
      <c r="E231" s="66"/>
      <c r="F231" s="66"/>
      <c r="G231" s="66"/>
      <c r="H231" s="66"/>
      <c r="I231" s="66"/>
      <c r="J231" s="66"/>
    </row>
    <row r="232" ht="12.75" customHeight="1">
      <c r="D232" s="66"/>
      <c r="E232" s="66"/>
      <c r="F232" s="66"/>
      <c r="G232" s="66"/>
      <c r="H232" s="66"/>
      <c r="I232" s="66"/>
      <c r="J232" s="66"/>
    </row>
    <row r="233" ht="12.75" customHeight="1">
      <c r="D233" s="66"/>
      <c r="E233" s="66"/>
      <c r="F233" s="66"/>
      <c r="G233" s="66"/>
      <c r="H233" s="66"/>
      <c r="I233" s="66"/>
      <c r="J233" s="66"/>
    </row>
    <row r="234" ht="12.75" customHeight="1">
      <c r="D234" s="66"/>
      <c r="E234" s="66"/>
      <c r="F234" s="66"/>
      <c r="G234" s="66"/>
      <c r="H234" s="66"/>
      <c r="I234" s="66"/>
      <c r="J234" s="66"/>
    </row>
    <row r="235" ht="12.75" customHeight="1">
      <c r="D235" s="66"/>
      <c r="E235" s="66"/>
      <c r="F235" s="66"/>
      <c r="G235" s="66"/>
      <c r="H235" s="66"/>
      <c r="I235" s="66"/>
      <c r="J235" s="66"/>
    </row>
    <row r="236" ht="12.75" customHeight="1">
      <c r="D236" s="66"/>
      <c r="E236" s="66"/>
      <c r="F236" s="66"/>
      <c r="G236" s="66"/>
      <c r="H236" s="66"/>
      <c r="I236" s="66"/>
      <c r="J236" s="66"/>
    </row>
    <row r="237" ht="12.75" customHeight="1">
      <c r="D237" s="66"/>
      <c r="E237" s="66"/>
      <c r="F237" s="66"/>
      <c r="G237" s="66"/>
      <c r="H237" s="66"/>
      <c r="I237" s="66"/>
      <c r="J237" s="66"/>
    </row>
    <row r="238" ht="12.75" customHeight="1">
      <c r="D238" s="66"/>
      <c r="E238" s="66"/>
      <c r="F238" s="66"/>
      <c r="G238" s="66"/>
      <c r="H238" s="66"/>
      <c r="I238" s="66"/>
      <c r="J238" s="66"/>
    </row>
    <row r="239" ht="12.75" customHeight="1">
      <c r="D239" s="66"/>
      <c r="E239" s="66"/>
      <c r="F239" s="66"/>
      <c r="G239" s="66"/>
      <c r="H239" s="66"/>
      <c r="I239" s="66"/>
      <c r="J239" s="66"/>
    </row>
    <row r="240" ht="12.75" customHeight="1">
      <c r="D240" s="66"/>
      <c r="E240" s="66"/>
      <c r="F240" s="66"/>
      <c r="G240" s="66"/>
      <c r="H240" s="66"/>
      <c r="I240" s="66"/>
      <c r="J240" s="66"/>
    </row>
    <row r="241" ht="12.75" customHeight="1">
      <c r="D241" s="66"/>
      <c r="E241" s="66"/>
      <c r="F241" s="66"/>
      <c r="G241" s="66"/>
      <c r="H241" s="66"/>
      <c r="I241" s="66"/>
      <c r="J241" s="66"/>
    </row>
    <row r="242" ht="12.75" customHeight="1">
      <c r="D242" s="66"/>
      <c r="E242" s="66"/>
      <c r="F242" s="66"/>
      <c r="G242" s="66"/>
      <c r="H242" s="66"/>
      <c r="I242" s="66"/>
      <c r="J242" s="66"/>
    </row>
    <row r="243" ht="12.75" customHeight="1">
      <c r="D243" s="66"/>
      <c r="E243" s="66"/>
      <c r="F243" s="66"/>
      <c r="G243" s="66"/>
      <c r="H243" s="66"/>
      <c r="I243" s="66"/>
      <c r="J243" s="66"/>
    </row>
    <row r="244" ht="12.75" customHeight="1">
      <c r="D244" s="66"/>
      <c r="E244" s="66"/>
      <c r="F244" s="66"/>
      <c r="G244" s="66"/>
      <c r="H244" s="66"/>
      <c r="I244" s="66"/>
      <c r="J244" s="66"/>
    </row>
    <row r="245" ht="12.75" customHeight="1">
      <c r="D245" s="66"/>
      <c r="E245" s="66"/>
      <c r="F245" s="66"/>
      <c r="G245" s="66"/>
      <c r="H245" s="66"/>
      <c r="I245" s="66"/>
      <c r="J245" s="66"/>
    </row>
    <row r="246" ht="12.75" customHeight="1">
      <c r="D246" s="66"/>
      <c r="E246" s="66"/>
      <c r="F246" s="66"/>
      <c r="G246" s="66"/>
      <c r="H246" s="66"/>
      <c r="I246" s="66"/>
      <c r="J246" s="66"/>
    </row>
    <row r="247" ht="12.75" customHeight="1">
      <c r="D247" s="66"/>
      <c r="E247" s="66"/>
      <c r="F247" s="66"/>
      <c r="G247" s="66"/>
      <c r="H247" s="66"/>
      <c r="I247" s="66"/>
      <c r="J247" s="66"/>
    </row>
    <row r="248" ht="12.75" customHeight="1">
      <c r="D248" s="66"/>
      <c r="E248" s="66"/>
      <c r="F248" s="66"/>
      <c r="G248" s="66"/>
      <c r="H248" s="66"/>
      <c r="I248" s="66"/>
      <c r="J248" s="66"/>
    </row>
    <row r="249" ht="12.75" customHeight="1">
      <c r="D249" s="66"/>
      <c r="E249" s="66"/>
      <c r="F249" s="66"/>
      <c r="G249" s="66"/>
      <c r="H249" s="66"/>
      <c r="I249" s="66"/>
      <c r="J249" s="66"/>
    </row>
    <row r="250" ht="12.75" customHeight="1">
      <c r="D250" s="66"/>
      <c r="E250" s="66"/>
      <c r="F250" s="66"/>
      <c r="G250" s="66"/>
      <c r="H250" s="66"/>
      <c r="I250" s="66"/>
      <c r="J250" s="66"/>
    </row>
    <row r="251" ht="12.75" customHeight="1">
      <c r="D251" s="66"/>
      <c r="E251" s="66"/>
      <c r="F251" s="66"/>
      <c r="G251" s="66"/>
      <c r="H251" s="66"/>
      <c r="I251" s="66"/>
      <c r="J251" s="66"/>
    </row>
    <row r="252" ht="12.75" customHeight="1">
      <c r="D252" s="66"/>
      <c r="E252" s="66"/>
      <c r="F252" s="66"/>
      <c r="G252" s="66"/>
      <c r="H252" s="66"/>
      <c r="I252" s="66"/>
      <c r="J252" s="66"/>
    </row>
    <row r="253" ht="12.75" customHeight="1">
      <c r="D253" s="66"/>
      <c r="E253" s="66"/>
      <c r="F253" s="66"/>
      <c r="G253" s="66"/>
      <c r="H253" s="66"/>
      <c r="I253" s="66"/>
      <c r="J253" s="66"/>
    </row>
    <row r="254" ht="12.75" customHeight="1">
      <c r="D254" s="66"/>
      <c r="E254" s="66"/>
      <c r="F254" s="66"/>
      <c r="G254" s="66"/>
      <c r="H254" s="66"/>
      <c r="I254" s="66"/>
      <c r="J254" s="66"/>
    </row>
    <row r="255" ht="12.75" customHeight="1">
      <c r="D255" s="66"/>
      <c r="E255" s="66"/>
      <c r="F255" s="66"/>
      <c r="G255" s="66"/>
      <c r="H255" s="66"/>
      <c r="I255" s="66"/>
      <c r="J255" s="66"/>
    </row>
    <row r="256" ht="12.75" customHeight="1">
      <c r="D256" s="66"/>
      <c r="E256" s="66"/>
      <c r="F256" s="66"/>
      <c r="G256" s="66"/>
      <c r="H256" s="66"/>
      <c r="I256" s="66"/>
      <c r="J256" s="66"/>
    </row>
    <row r="257" ht="12.75" customHeight="1">
      <c r="D257" s="66"/>
      <c r="E257" s="66"/>
      <c r="F257" s="66"/>
      <c r="G257" s="66"/>
      <c r="H257" s="66"/>
      <c r="I257" s="66"/>
      <c r="J257" s="66"/>
    </row>
    <row r="258" ht="12.75" customHeight="1">
      <c r="D258" s="66"/>
      <c r="E258" s="66"/>
      <c r="F258" s="66"/>
      <c r="G258" s="66"/>
      <c r="H258" s="66"/>
      <c r="I258" s="66"/>
      <c r="J258" s="66"/>
    </row>
    <row r="259" ht="12.75" customHeight="1">
      <c r="D259" s="66"/>
      <c r="E259" s="66"/>
      <c r="F259" s="66"/>
      <c r="G259" s="66"/>
      <c r="H259" s="66"/>
      <c r="I259" s="66"/>
      <c r="J259" s="66"/>
    </row>
    <row r="260" ht="12.75" customHeight="1">
      <c r="D260" s="66"/>
      <c r="E260" s="66"/>
      <c r="F260" s="66"/>
      <c r="G260" s="66"/>
      <c r="H260" s="66"/>
      <c r="I260" s="66"/>
      <c r="J260" s="66"/>
    </row>
    <row r="261" ht="12.75" customHeight="1">
      <c r="D261" s="66"/>
      <c r="E261" s="66"/>
      <c r="F261" s="66"/>
      <c r="G261" s="66"/>
      <c r="H261" s="66"/>
      <c r="I261" s="66"/>
      <c r="J261" s="66"/>
    </row>
    <row r="262" ht="12.75" customHeight="1">
      <c r="D262" s="66"/>
      <c r="E262" s="66"/>
      <c r="F262" s="66"/>
      <c r="G262" s="66"/>
      <c r="H262" s="66"/>
      <c r="I262" s="66"/>
      <c r="J262" s="66"/>
    </row>
    <row r="263" ht="12.75" customHeight="1">
      <c r="D263" s="66"/>
      <c r="E263" s="66"/>
      <c r="F263" s="66"/>
      <c r="G263" s="66"/>
      <c r="H263" s="66"/>
      <c r="I263" s="66"/>
      <c r="J263" s="66"/>
    </row>
    <row r="264" ht="12.75" customHeight="1">
      <c r="D264" s="66"/>
      <c r="E264" s="66"/>
      <c r="F264" s="66"/>
      <c r="G264" s="66"/>
      <c r="H264" s="66"/>
      <c r="I264" s="66"/>
      <c r="J264" s="66"/>
    </row>
    <row r="265" ht="12.75" customHeight="1">
      <c r="D265" s="66"/>
      <c r="E265" s="66"/>
      <c r="F265" s="66"/>
      <c r="G265" s="66"/>
      <c r="H265" s="66"/>
      <c r="I265" s="66"/>
      <c r="J265" s="66"/>
    </row>
    <row r="266" ht="12.75" customHeight="1">
      <c r="D266" s="66"/>
      <c r="E266" s="66"/>
      <c r="F266" s="66"/>
      <c r="G266" s="66"/>
      <c r="H266" s="66"/>
      <c r="I266" s="66"/>
      <c r="J266" s="66"/>
    </row>
    <row r="267" ht="12.75" customHeight="1">
      <c r="D267" s="66"/>
      <c r="E267" s="66"/>
      <c r="F267" s="66"/>
      <c r="G267" s="66"/>
      <c r="H267" s="66"/>
      <c r="I267" s="66"/>
      <c r="J267" s="66"/>
    </row>
    <row r="268" ht="12.75" customHeight="1">
      <c r="D268" s="66"/>
      <c r="E268" s="66"/>
      <c r="F268" s="66"/>
      <c r="G268" s="66"/>
      <c r="H268" s="66"/>
      <c r="I268" s="66"/>
      <c r="J268" s="66"/>
    </row>
    <row r="269" ht="12.75" customHeight="1">
      <c r="D269" s="66"/>
      <c r="E269" s="66"/>
      <c r="F269" s="66"/>
      <c r="G269" s="66"/>
      <c r="H269" s="66"/>
      <c r="I269" s="66"/>
      <c r="J269" s="66"/>
    </row>
    <row r="270" ht="12.75" customHeight="1">
      <c r="D270" s="66"/>
      <c r="E270" s="66"/>
      <c r="F270" s="66"/>
      <c r="G270" s="66"/>
      <c r="H270" s="66"/>
      <c r="I270" s="66"/>
      <c r="J270" s="66"/>
    </row>
    <row r="271" ht="12.75" customHeight="1">
      <c r="D271" s="66"/>
      <c r="E271" s="66"/>
      <c r="F271" s="66"/>
      <c r="G271" s="66"/>
      <c r="H271" s="66"/>
      <c r="I271" s="66"/>
      <c r="J271" s="66"/>
    </row>
    <row r="272" ht="12.75" customHeight="1">
      <c r="D272" s="66"/>
      <c r="E272" s="66"/>
      <c r="F272" s="66"/>
      <c r="G272" s="66"/>
      <c r="H272" s="66"/>
      <c r="I272" s="66"/>
      <c r="J272" s="66"/>
    </row>
    <row r="273" ht="12.75" customHeight="1">
      <c r="D273" s="66"/>
      <c r="E273" s="66"/>
      <c r="F273" s="66"/>
      <c r="G273" s="66"/>
      <c r="H273" s="66"/>
      <c r="I273" s="66"/>
      <c r="J273" s="66"/>
    </row>
    <row r="274" ht="12.75" customHeight="1">
      <c r="D274" s="66"/>
      <c r="E274" s="66"/>
      <c r="F274" s="66"/>
      <c r="G274" s="66"/>
      <c r="H274" s="66"/>
      <c r="I274" s="66"/>
      <c r="J274" s="66"/>
    </row>
    <row r="275" ht="12.75" customHeight="1">
      <c r="D275" s="66"/>
      <c r="E275" s="66"/>
      <c r="F275" s="66"/>
      <c r="G275" s="66"/>
      <c r="H275" s="66"/>
      <c r="I275" s="66"/>
      <c r="J275" s="66"/>
    </row>
    <row r="276" ht="12.75" customHeight="1">
      <c r="D276" s="66"/>
      <c r="E276" s="66"/>
      <c r="F276" s="66"/>
      <c r="G276" s="66"/>
      <c r="H276" s="66"/>
      <c r="I276" s="66"/>
      <c r="J276" s="66"/>
    </row>
    <row r="277" ht="12.75" customHeight="1">
      <c r="D277" s="66"/>
      <c r="E277" s="66"/>
      <c r="F277" s="66"/>
      <c r="G277" s="66"/>
      <c r="H277" s="66"/>
      <c r="I277" s="66"/>
      <c r="J277" s="66"/>
    </row>
    <row r="278" ht="12.75" customHeight="1">
      <c r="D278" s="66"/>
      <c r="E278" s="66"/>
      <c r="F278" s="66"/>
      <c r="G278" s="66"/>
      <c r="H278" s="66"/>
      <c r="I278" s="66"/>
      <c r="J278" s="66"/>
    </row>
    <row r="279" ht="12.75" customHeight="1">
      <c r="D279" s="66"/>
      <c r="E279" s="66"/>
      <c r="F279" s="66"/>
      <c r="G279" s="66"/>
      <c r="H279" s="66"/>
      <c r="I279" s="66"/>
      <c r="J279" s="66"/>
    </row>
    <row r="280" ht="12.75" customHeight="1">
      <c r="D280" s="66"/>
      <c r="E280" s="66"/>
      <c r="F280" s="66"/>
      <c r="G280" s="66"/>
      <c r="H280" s="66"/>
      <c r="I280" s="66"/>
      <c r="J280" s="66"/>
    </row>
    <row r="281" ht="12.75" customHeight="1">
      <c r="D281" s="66"/>
      <c r="E281" s="66"/>
      <c r="F281" s="66"/>
      <c r="G281" s="66"/>
      <c r="H281" s="66"/>
      <c r="I281" s="66"/>
      <c r="J281" s="66"/>
    </row>
    <row r="282" ht="12.75" customHeight="1">
      <c r="D282" s="66"/>
      <c r="E282" s="66"/>
      <c r="F282" s="66"/>
      <c r="G282" s="66"/>
      <c r="H282" s="66"/>
      <c r="I282" s="66"/>
      <c r="J282" s="66"/>
    </row>
    <row r="283" ht="12.75" customHeight="1">
      <c r="D283" s="66"/>
      <c r="E283" s="66"/>
      <c r="F283" s="66"/>
      <c r="G283" s="66"/>
      <c r="H283" s="66"/>
      <c r="I283" s="66"/>
      <c r="J283" s="66"/>
    </row>
    <row r="284" ht="12.75" customHeight="1">
      <c r="D284" s="66"/>
      <c r="E284" s="66"/>
      <c r="F284" s="66"/>
      <c r="G284" s="66"/>
      <c r="H284" s="66"/>
      <c r="I284" s="66"/>
      <c r="J284" s="66"/>
    </row>
    <row r="285" ht="12.75" customHeight="1">
      <c r="D285" s="66"/>
      <c r="E285" s="66"/>
      <c r="F285" s="66"/>
      <c r="G285" s="66"/>
      <c r="H285" s="66"/>
      <c r="I285" s="66"/>
      <c r="J285" s="66"/>
    </row>
    <row r="286" ht="12.75" customHeight="1">
      <c r="D286" s="66"/>
      <c r="E286" s="66"/>
      <c r="F286" s="66"/>
      <c r="G286" s="66"/>
      <c r="H286" s="66"/>
      <c r="I286" s="66"/>
      <c r="J286" s="66"/>
    </row>
    <row r="287" ht="12.75" customHeight="1">
      <c r="D287" s="66"/>
      <c r="E287" s="66"/>
      <c r="F287" s="66"/>
      <c r="G287" s="66"/>
      <c r="H287" s="66"/>
      <c r="I287" s="66"/>
      <c r="J287" s="66"/>
    </row>
    <row r="288" ht="12.75" customHeight="1">
      <c r="D288" s="66"/>
      <c r="E288" s="66"/>
      <c r="F288" s="66"/>
      <c r="G288" s="66"/>
      <c r="H288" s="66"/>
      <c r="I288" s="66"/>
      <c r="J288" s="66"/>
    </row>
    <row r="289" ht="12.75" customHeight="1">
      <c r="D289" s="66"/>
      <c r="E289" s="66"/>
      <c r="F289" s="66"/>
      <c r="G289" s="66"/>
      <c r="H289" s="66"/>
      <c r="I289" s="66"/>
      <c r="J289" s="66"/>
    </row>
    <row r="290" ht="12.75" customHeight="1">
      <c r="D290" s="66"/>
      <c r="E290" s="66"/>
      <c r="F290" s="66"/>
      <c r="G290" s="66"/>
      <c r="H290" s="66"/>
      <c r="I290" s="66"/>
      <c r="J290" s="66"/>
    </row>
    <row r="291" ht="12.75" customHeight="1">
      <c r="D291" s="66"/>
      <c r="E291" s="66"/>
      <c r="F291" s="66"/>
      <c r="G291" s="66"/>
      <c r="H291" s="66"/>
      <c r="I291" s="66"/>
      <c r="J291" s="66"/>
    </row>
    <row r="292" ht="12.75" customHeight="1">
      <c r="D292" s="66"/>
      <c r="E292" s="66"/>
      <c r="F292" s="66"/>
      <c r="G292" s="66"/>
      <c r="H292" s="66"/>
      <c r="I292" s="66"/>
      <c r="J292" s="66"/>
    </row>
    <row r="293" ht="12.75" customHeight="1">
      <c r="D293" s="66"/>
      <c r="E293" s="66"/>
      <c r="F293" s="66"/>
      <c r="G293" s="66"/>
      <c r="H293" s="66"/>
      <c r="I293" s="66"/>
      <c r="J293" s="66"/>
    </row>
    <row r="294" ht="12.75" customHeight="1">
      <c r="D294" s="66"/>
      <c r="E294" s="66"/>
      <c r="F294" s="66"/>
      <c r="G294" s="66"/>
      <c r="H294" s="66"/>
      <c r="I294" s="66"/>
      <c r="J294" s="66"/>
    </row>
    <row r="295" ht="12.75" customHeight="1">
      <c r="D295" s="66"/>
      <c r="E295" s="66"/>
      <c r="F295" s="66"/>
      <c r="G295" s="66"/>
      <c r="H295" s="66"/>
      <c r="I295" s="66"/>
      <c r="J295" s="66"/>
    </row>
    <row r="296" ht="12.75" customHeight="1">
      <c r="D296" s="66"/>
      <c r="E296" s="66"/>
      <c r="F296" s="66"/>
      <c r="G296" s="66"/>
      <c r="H296" s="66"/>
      <c r="I296" s="66"/>
      <c r="J296" s="66"/>
    </row>
    <row r="297" ht="12.75" customHeight="1">
      <c r="D297" s="66"/>
      <c r="E297" s="66"/>
      <c r="F297" s="66"/>
      <c r="G297" s="66"/>
      <c r="H297" s="66"/>
      <c r="I297" s="66"/>
      <c r="J297" s="66"/>
    </row>
    <row r="298" ht="12.75" customHeight="1">
      <c r="D298" s="66"/>
      <c r="E298" s="66"/>
      <c r="F298" s="66"/>
      <c r="G298" s="66"/>
      <c r="H298" s="66"/>
      <c r="I298" s="66"/>
      <c r="J298" s="66"/>
    </row>
    <row r="299" ht="12.75" customHeight="1">
      <c r="D299" s="66"/>
      <c r="E299" s="66"/>
      <c r="F299" s="66"/>
      <c r="G299" s="66"/>
      <c r="H299" s="66"/>
      <c r="I299" s="66"/>
      <c r="J299" s="66"/>
    </row>
    <row r="300" ht="12.75" customHeight="1">
      <c r="D300" s="66"/>
      <c r="E300" s="66"/>
      <c r="F300" s="66"/>
      <c r="G300" s="66"/>
      <c r="H300" s="66"/>
      <c r="I300" s="66"/>
      <c r="J300" s="66"/>
    </row>
    <row r="301" ht="12.75" customHeight="1">
      <c r="D301" s="66"/>
      <c r="E301" s="66"/>
      <c r="F301" s="66"/>
      <c r="G301" s="66"/>
      <c r="H301" s="66"/>
      <c r="I301" s="66"/>
      <c r="J301" s="66"/>
    </row>
    <row r="302" ht="12.75" customHeight="1">
      <c r="D302" s="66"/>
      <c r="E302" s="66"/>
      <c r="F302" s="66"/>
      <c r="G302" s="66"/>
      <c r="H302" s="66"/>
      <c r="I302" s="66"/>
      <c r="J302" s="66"/>
    </row>
    <row r="303" ht="12.75" customHeight="1">
      <c r="D303" s="66"/>
      <c r="E303" s="66"/>
      <c r="F303" s="66"/>
      <c r="G303" s="66"/>
      <c r="H303" s="66"/>
      <c r="I303" s="66"/>
      <c r="J303" s="66"/>
    </row>
    <row r="304" ht="12.75" customHeight="1">
      <c r="D304" s="66"/>
      <c r="E304" s="66"/>
      <c r="F304" s="66"/>
      <c r="G304" s="66"/>
      <c r="H304" s="66"/>
      <c r="I304" s="66"/>
      <c r="J304" s="66"/>
    </row>
    <row r="305" ht="12.75" customHeight="1">
      <c r="D305" s="66"/>
      <c r="E305" s="66"/>
      <c r="F305" s="66"/>
      <c r="G305" s="66"/>
      <c r="H305" s="66"/>
      <c r="I305" s="66"/>
      <c r="J305" s="66"/>
    </row>
    <row r="306" ht="12.75" customHeight="1">
      <c r="D306" s="66"/>
      <c r="E306" s="66"/>
      <c r="F306" s="66"/>
      <c r="G306" s="66"/>
      <c r="H306" s="66"/>
      <c r="I306" s="66"/>
      <c r="J306" s="66"/>
    </row>
    <row r="307" ht="12.75" customHeight="1">
      <c r="D307" s="66"/>
      <c r="E307" s="66"/>
      <c r="F307" s="66"/>
      <c r="G307" s="66"/>
      <c r="H307" s="66"/>
      <c r="I307" s="66"/>
      <c r="J307" s="66"/>
    </row>
    <row r="308" ht="12.75" customHeight="1">
      <c r="D308" s="66"/>
      <c r="E308" s="66"/>
      <c r="F308" s="66"/>
      <c r="G308" s="66"/>
      <c r="H308" s="66"/>
      <c r="I308" s="66"/>
      <c r="J308" s="66"/>
    </row>
    <row r="309" ht="12.75" customHeight="1">
      <c r="D309" s="66"/>
      <c r="E309" s="66"/>
      <c r="F309" s="66"/>
      <c r="G309" s="66"/>
      <c r="H309" s="66"/>
      <c r="I309" s="66"/>
      <c r="J309" s="66"/>
    </row>
    <row r="310" ht="12.75" customHeight="1">
      <c r="D310" s="66"/>
      <c r="E310" s="66"/>
      <c r="F310" s="66"/>
      <c r="G310" s="66"/>
      <c r="H310" s="66"/>
      <c r="I310" s="66"/>
      <c r="J310" s="66"/>
    </row>
    <row r="311" ht="12.75" customHeight="1">
      <c r="D311" s="66"/>
      <c r="E311" s="66"/>
      <c r="F311" s="66"/>
      <c r="G311" s="66"/>
      <c r="H311" s="66"/>
      <c r="I311" s="66"/>
      <c r="J311" s="66"/>
    </row>
    <row r="312" ht="12.75" customHeight="1">
      <c r="D312" s="66"/>
      <c r="E312" s="66"/>
      <c r="F312" s="66"/>
      <c r="G312" s="66"/>
      <c r="H312" s="66"/>
      <c r="I312" s="66"/>
      <c r="J312" s="66"/>
    </row>
    <row r="313" ht="12.75" customHeight="1">
      <c r="D313" s="66"/>
      <c r="E313" s="66"/>
      <c r="F313" s="66"/>
      <c r="G313" s="66"/>
      <c r="H313" s="66"/>
      <c r="I313" s="66"/>
      <c r="J313" s="66"/>
    </row>
    <row r="314" ht="12.75" customHeight="1">
      <c r="D314" s="66"/>
      <c r="E314" s="66"/>
      <c r="F314" s="66"/>
      <c r="G314" s="66"/>
      <c r="H314" s="66"/>
      <c r="I314" s="66"/>
      <c r="J314" s="66"/>
    </row>
    <row r="315" ht="12.75" customHeight="1">
      <c r="D315" s="66"/>
      <c r="E315" s="66"/>
      <c r="F315" s="66"/>
      <c r="G315" s="66"/>
      <c r="H315" s="66"/>
      <c r="I315" s="66"/>
      <c r="J315" s="66"/>
    </row>
    <row r="316" ht="12.75" customHeight="1">
      <c r="D316" s="66"/>
      <c r="E316" s="66"/>
      <c r="F316" s="66"/>
      <c r="G316" s="66"/>
      <c r="H316" s="66"/>
      <c r="I316" s="66"/>
      <c r="J316" s="66"/>
    </row>
    <row r="317" ht="12.75" customHeight="1">
      <c r="D317" s="66"/>
      <c r="E317" s="66"/>
      <c r="F317" s="66"/>
      <c r="G317" s="66"/>
      <c r="H317" s="66"/>
      <c r="I317" s="66"/>
      <c r="J317" s="66"/>
    </row>
    <row r="318" ht="12.75" customHeight="1">
      <c r="D318" s="66"/>
      <c r="E318" s="66"/>
      <c r="F318" s="66"/>
      <c r="G318" s="66"/>
      <c r="H318" s="66"/>
      <c r="I318" s="66"/>
      <c r="J318" s="66"/>
    </row>
    <row r="319" ht="12.75" customHeight="1">
      <c r="D319" s="66"/>
      <c r="E319" s="66"/>
      <c r="F319" s="66"/>
      <c r="G319" s="66"/>
      <c r="H319" s="66"/>
      <c r="I319" s="66"/>
      <c r="J319" s="66"/>
    </row>
    <row r="320" ht="12.75" customHeight="1">
      <c r="D320" s="66"/>
      <c r="E320" s="66"/>
      <c r="F320" s="66"/>
      <c r="G320" s="66"/>
      <c r="H320" s="66"/>
      <c r="I320" s="66"/>
      <c r="J320" s="66"/>
    </row>
    <row r="321" ht="12.75" customHeight="1">
      <c r="D321" s="66"/>
      <c r="E321" s="66"/>
      <c r="F321" s="66"/>
      <c r="G321" s="66"/>
      <c r="H321" s="66"/>
      <c r="I321" s="66"/>
      <c r="J321" s="66"/>
    </row>
    <row r="322" ht="12.75" customHeight="1">
      <c r="D322" s="66"/>
      <c r="E322" s="66"/>
      <c r="F322" s="66"/>
      <c r="G322" s="66"/>
      <c r="H322" s="66"/>
      <c r="I322" s="66"/>
      <c r="J322" s="66"/>
    </row>
    <row r="323" ht="12.75" customHeight="1">
      <c r="D323" s="66"/>
      <c r="E323" s="66"/>
      <c r="F323" s="66"/>
      <c r="G323" s="66"/>
      <c r="H323" s="66"/>
      <c r="I323" s="66"/>
      <c r="J323" s="66"/>
    </row>
    <row r="324" ht="12.75" customHeight="1">
      <c r="D324" s="66"/>
      <c r="E324" s="66"/>
      <c r="F324" s="66"/>
      <c r="G324" s="66"/>
      <c r="H324" s="66"/>
      <c r="I324" s="66"/>
      <c r="J324" s="66"/>
    </row>
    <row r="325" ht="12.75" customHeight="1">
      <c r="D325" s="66"/>
      <c r="E325" s="66"/>
      <c r="F325" s="66"/>
      <c r="G325" s="66"/>
      <c r="H325" s="66"/>
      <c r="I325" s="66"/>
      <c r="J325" s="66"/>
    </row>
    <row r="326" ht="12.75" customHeight="1">
      <c r="D326" s="66"/>
      <c r="E326" s="66"/>
      <c r="F326" s="66"/>
      <c r="G326" s="66"/>
      <c r="H326" s="66"/>
      <c r="I326" s="66"/>
      <c r="J326" s="66"/>
    </row>
    <row r="327" ht="12.75" customHeight="1">
      <c r="D327" s="66"/>
      <c r="E327" s="66"/>
      <c r="F327" s="66"/>
      <c r="G327" s="66"/>
      <c r="H327" s="66"/>
      <c r="I327" s="66"/>
      <c r="J327" s="66"/>
    </row>
    <row r="328" ht="12.75" customHeight="1">
      <c r="D328" s="66"/>
      <c r="E328" s="66"/>
      <c r="F328" s="66"/>
      <c r="G328" s="66"/>
      <c r="H328" s="66"/>
      <c r="I328" s="66"/>
      <c r="J328" s="66"/>
    </row>
    <row r="329" ht="12.75" customHeight="1">
      <c r="D329" s="66"/>
      <c r="E329" s="66"/>
      <c r="F329" s="66"/>
      <c r="G329" s="66"/>
      <c r="H329" s="66"/>
      <c r="I329" s="66"/>
      <c r="J329" s="66"/>
    </row>
    <row r="330" ht="12.75" customHeight="1">
      <c r="D330" s="66"/>
      <c r="E330" s="66"/>
      <c r="F330" s="66"/>
      <c r="G330" s="66"/>
      <c r="H330" s="66"/>
      <c r="I330" s="66"/>
      <c r="J330" s="66"/>
    </row>
    <row r="331" ht="12.75" customHeight="1">
      <c r="D331" s="66"/>
      <c r="E331" s="66"/>
      <c r="F331" s="66"/>
      <c r="G331" s="66"/>
      <c r="H331" s="66"/>
      <c r="I331" s="66"/>
      <c r="J331" s="66"/>
    </row>
    <row r="332" ht="12.75" customHeight="1">
      <c r="D332" s="66"/>
      <c r="E332" s="66"/>
      <c r="F332" s="66"/>
      <c r="G332" s="66"/>
      <c r="H332" s="66"/>
      <c r="I332" s="66"/>
      <c r="J332" s="66"/>
    </row>
    <row r="333" ht="12.75" customHeight="1">
      <c r="D333" s="66"/>
      <c r="E333" s="66"/>
      <c r="F333" s="66"/>
      <c r="G333" s="66"/>
      <c r="H333" s="66"/>
      <c r="I333" s="66"/>
      <c r="J333" s="66"/>
    </row>
    <row r="334" ht="12.75" customHeight="1">
      <c r="D334" s="66"/>
      <c r="E334" s="66"/>
      <c r="F334" s="66"/>
      <c r="G334" s="66"/>
      <c r="H334" s="66"/>
      <c r="I334" s="66"/>
      <c r="J334" s="66"/>
    </row>
    <row r="335" ht="12.75" customHeight="1">
      <c r="D335" s="66"/>
      <c r="E335" s="66"/>
      <c r="F335" s="66"/>
      <c r="G335" s="66"/>
      <c r="H335" s="66"/>
      <c r="I335" s="66"/>
      <c r="J335" s="66"/>
    </row>
    <row r="336" ht="12.75" customHeight="1">
      <c r="D336" s="66"/>
      <c r="E336" s="66"/>
      <c r="F336" s="66"/>
      <c r="G336" s="66"/>
      <c r="H336" s="66"/>
      <c r="I336" s="66"/>
      <c r="J336" s="66"/>
    </row>
    <row r="337" ht="12.75" customHeight="1">
      <c r="D337" s="66"/>
      <c r="E337" s="66"/>
      <c r="F337" s="66"/>
      <c r="G337" s="66"/>
      <c r="H337" s="66"/>
      <c r="I337" s="66"/>
      <c r="J337" s="66"/>
    </row>
    <row r="338" ht="12.75" customHeight="1">
      <c r="D338" s="66"/>
      <c r="E338" s="66"/>
      <c r="F338" s="66"/>
      <c r="G338" s="66"/>
      <c r="H338" s="66"/>
      <c r="I338" s="66"/>
      <c r="J338" s="66"/>
    </row>
    <row r="339" ht="12.75" customHeight="1">
      <c r="D339" s="66"/>
      <c r="E339" s="66"/>
      <c r="F339" s="66"/>
      <c r="G339" s="66"/>
      <c r="H339" s="66"/>
      <c r="I339" s="66"/>
      <c r="J339" s="66"/>
    </row>
    <row r="340" ht="12.75" customHeight="1">
      <c r="D340" s="66"/>
      <c r="E340" s="66"/>
      <c r="F340" s="66"/>
      <c r="G340" s="66"/>
      <c r="H340" s="66"/>
      <c r="I340" s="66"/>
      <c r="J340" s="66"/>
    </row>
    <row r="341" ht="12.75" customHeight="1">
      <c r="D341" s="66"/>
      <c r="E341" s="66"/>
      <c r="F341" s="66"/>
      <c r="G341" s="66"/>
      <c r="H341" s="66"/>
      <c r="I341" s="66"/>
      <c r="J341" s="66"/>
    </row>
    <row r="342" ht="12.75" customHeight="1">
      <c r="D342" s="66"/>
      <c r="E342" s="66"/>
      <c r="F342" s="66"/>
      <c r="G342" s="66"/>
      <c r="H342" s="66"/>
      <c r="I342" s="66"/>
      <c r="J342" s="66"/>
    </row>
    <row r="343" ht="12.75" customHeight="1">
      <c r="D343" s="66"/>
      <c r="E343" s="66"/>
      <c r="F343" s="66"/>
      <c r="G343" s="66"/>
      <c r="H343" s="66"/>
      <c r="I343" s="66"/>
      <c r="J343" s="66"/>
    </row>
    <row r="344" ht="12.75" customHeight="1">
      <c r="D344" s="66"/>
      <c r="E344" s="66"/>
      <c r="F344" s="66"/>
      <c r="G344" s="66"/>
      <c r="H344" s="66"/>
      <c r="I344" s="66"/>
      <c r="J344" s="66"/>
    </row>
    <row r="345" ht="12.75" customHeight="1">
      <c r="D345" s="66"/>
      <c r="E345" s="66"/>
      <c r="F345" s="66"/>
      <c r="G345" s="66"/>
      <c r="H345" s="66"/>
      <c r="I345" s="66"/>
      <c r="J345" s="66"/>
    </row>
    <row r="346" ht="12.75" customHeight="1">
      <c r="D346" s="66"/>
      <c r="E346" s="66"/>
      <c r="F346" s="66"/>
      <c r="G346" s="66"/>
      <c r="H346" s="66"/>
      <c r="I346" s="66"/>
      <c r="J346" s="66"/>
    </row>
    <row r="347" ht="12.75" customHeight="1">
      <c r="D347" s="66"/>
      <c r="E347" s="66"/>
      <c r="F347" s="66"/>
      <c r="G347" s="66"/>
      <c r="H347" s="66"/>
      <c r="I347" s="66"/>
      <c r="J347" s="66"/>
    </row>
    <row r="348" ht="12.75" customHeight="1">
      <c r="D348" s="66"/>
      <c r="E348" s="66"/>
      <c r="F348" s="66"/>
      <c r="G348" s="66"/>
      <c r="H348" s="66"/>
      <c r="I348" s="66"/>
      <c r="J348" s="66"/>
    </row>
    <row r="349" ht="12.75" customHeight="1">
      <c r="D349" s="66"/>
      <c r="E349" s="66"/>
      <c r="F349" s="66"/>
      <c r="G349" s="66"/>
      <c r="H349" s="66"/>
      <c r="I349" s="66"/>
      <c r="J349" s="66"/>
    </row>
    <row r="350" ht="12.75" customHeight="1">
      <c r="D350" s="66"/>
      <c r="E350" s="66"/>
      <c r="F350" s="66"/>
      <c r="G350" s="66"/>
      <c r="H350" s="66"/>
      <c r="I350" s="66"/>
      <c r="J350" s="66"/>
    </row>
    <row r="351" ht="12.75" customHeight="1">
      <c r="D351" s="66"/>
      <c r="E351" s="66"/>
      <c r="F351" s="66"/>
      <c r="G351" s="66"/>
      <c r="H351" s="66"/>
      <c r="I351" s="66"/>
      <c r="J351" s="66"/>
    </row>
    <row r="352" ht="12.75" customHeight="1">
      <c r="D352" s="66"/>
      <c r="E352" s="66"/>
      <c r="F352" s="66"/>
      <c r="G352" s="66"/>
      <c r="H352" s="66"/>
      <c r="I352" s="66"/>
      <c r="J352" s="66"/>
    </row>
    <row r="353" ht="12.75" customHeight="1">
      <c r="D353" s="66"/>
      <c r="E353" s="66"/>
      <c r="F353" s="66"/>
      <c r="G353" s="66"/>
      <c r="H353" s="66"/>
      <c r="I353" s="66"/>
      <c r="J353" s="66"/>
    </row>
    <row r="354" ht="12.75" customHeight="1">
      <c r="D354" s="66"/>
      <c r="E354" s="66"/>
      <c r="F354" s="66"/>
      <c r="G354" s="66"/>
      <c r="H354" s="66"/>
      <c r="I354" s="66"/>
      <c r="J354" s="66"/>
    </row>
    <row r="355" ht="12.75" customHeight="1">
      <c r="D355" s="66"/>
      <c r="E355" s="66"/>
      <c r="F355" s="66"/>
      <c r="G355" s="66"/>
      <c r="H355" s="66"/>
      <c r="I355" s="66"/>
      <c r="J355" s="66"/>
    </row>
    <row r="356" ht="12.75" customHeight="1">
      <c r="D356" s="66"/>
      <c r="E356" s="66"/>
      <c r="F356" s="66"/>
      <c r="G356" s="66"/>
      <c r="H356" s="66"/>
      <c r="I356" s="66"/>
      <c r="J356" s="66"/>
    </row>
    <row r="357" ht="12.75" customHeight="1">
      <c r="D357" s="66"/>
      <c r="E357" s="66"/>
      <c r="F357" s="66"/>
      <c r="G357" s="66"/>
      <c r="H357" s="66"/>
      <c r="I357" s="66"/>
      <c r="J357" s="66"/>
    </row>
    <row r="358" ht="12.75" customHeight="1">
      <c r="D358" s="66"/>
      <c r="E358" s="66"/>
      <c r="F358" s="66"/>
      <c r="G358" s="66"/>
      <c r="H358" s="66"/>
      <c r="I358" s="66"/>
      <c r="J358" s="66"/>
    </row>
    <row r="359" ht="12.75" customHeight="1">
      <c r="D359" s="66"/>
      <c r="E359" s="66"/>
      <c r="F359" s="66"/>
      <c r="G359" s="66"/>
      <c r="H359" s="66"/>
      <c r="I359" s="66"/>
      <c r="J359" s="66"/>
    </row>
    <row r="360" ht="12.75" customHeight="1">
      <c r="D360" s="66"/>
      <c r="E360" s="66"/>
      <c r="F360" s="66"/>
      <c r="G360" s="66"/>
      <c r="H360" s="66"/>
      <c r="I360" s="66"/>
      <c r="J360" s="66"/>
    </row>
    <row r="361" ht="12.75" customHeight="1">
      <c r="D361" s="66"/>
      <c r="E361" s="66"/>
      <c r="F361" s="66"/>
      <c r="G361" s="66"/>
      <c r="H361" s="66"/>
      <c r="I361" s="66"/>
      <c r="J361" s="66"/>
    </row>
    <row r="362" ht="12.75" customHeight="1">
      <c r="D362" s="66"/>
      <c r="E362" s="66"/>
      <c r="F362" s="66"/>
      <c r="G362" s="66"/>
      <c r="H362" s="66"/>
      <c r="I362" s="66"/>
      <c r="J362" s="66"/>
    </row>
    <row r="363" ht="12.75" customHeight="1">
      <c r="D363" s="66"/>
      <c r="E363" s="66"/>
      <c r="F363" s="66"/>
      <c r="G363" s="66"/>
      <c r="H363" s="66"/>
      <c r="I363" s="66"/>
      <c r="J363" s="66"/>
    </row>
    <row r="364" ht="12.75" customHeight="1">
      <c r="D364" s="66"/>
      <c r="E364" s="66"/>
      <c r="F364" s="66"/>
      <c r="G364" s="66"/>
      <c r="H364" s="66"/>
      <c r="I364" s="66"/>
      <c r="J364" s="66"/>
    </row>
    <row r="365" ht="12.75" customHeight="1">
      <c r="D365" s="66"/>
      <c r="E365" s="66"/>
      <c r="F365" s="66"/>
      <c r="G365" s="66"/>
      <c r="H365" s="66"/>
      <c r="I365" s="66"/>
      <c r="J365" s="66"/>
    </row>
    <row r="366" ht="12.75" customHeight="1">
      <c r="D366" s="66"/>
      <c r="E366" s="66"/>
      <c r="F366" s="66"/>
      <c r="G366" s="66"/>
      <c r="H366" s="66"/>
      <c r="I366" s="66"/>
      <c r="J366" s="66"/>
    </row>
    <row r="367" ht="12.75" customHeight="1">
      <c r="D367" s="66"/>
      <c r="E367" s="66"/>
      <c r="F367" s="66"/>
      <c r="G367" s="66"/>
      <c r="H367" s="66"/>
      <c r="I367" s="66"/>
      <c r="J367" s="66"/>
    </row>
    <row r="368" ht="12.75" customHeight="1">
      <c r="D368" s="66"/>
      <c r="E368" s="66"/>
      <c r="F368" s="66"/>
      <c r="G368" s="66"/>
      <c r="H368" s="66"/>
      <c r="I368" s="66"/>
      <c r="J368" s="66"/>
    </row>
    <row r="369" ht="12.75" customHeight="1">
      <c r="D369" s="66"/>
      <c r="E369" s="66"/>
      <c r="F369" s="66"/>
      <c r="G369" s="66"/>
      <c r="H369" s="66"/>
      <c r="I369" s="66"/>
      <c r="J369" s="66"/>
    </row>
    <row r="370" ht="12.75" customHeight="1">
      <c r="D370" s="66"/>
      <c r="E370" s="66"/>
      <c r="F370" s="66"/>
      <c r="G370" s="66"/>
      <c r="H370" s="66"/>
      <c r="I370" s="66"/>
      <c r="J370" s="66"/>
    </row>
    <row r="371" ht="12.75" customHeight="1">
      <c r="D371" s="66"/>
      <c r="E371" s="66"/>
      <c r="F371" s="66"/>
      <c r="G371" s="66"/>
      <c r="H371" s="66"/>
      <c r="I371" s="66"/>
      <c r="J371" s="66"/>
    </row>
    <row r="372" ht="12.75" customHeight="1">
      <c r="D372" s="66"/>
      <c r="E372" s="66"/>
      <c r="F372" s="66"/>
      <c r="G372" s="66"/>
      <c r="H372" s="66"/>
      <c r="I372" s="66"/>
      <c r="J372" s="66"/>
    </row>
    <row r="373" ht="12.75" customHeight="1">
      <c r="D373" s="66"/>
      <c r="E373" s="66"/>
      <c r="F373" s="66"/>
      <c r="G373" s="66"/>
      <c r="H373" s="66"/>
      <c r="I373" s="66"/>
      <c r="J373" s="66"/>
    </row>
    <row r="374" ht="12.75" customHeight="1">
      <c r="D374" s="66"/>
      <c r="E374" s="66"/>
      <c r="F374" s="66"/>
      <c r="G374" s="66"/>
      <c r="H374" s="66"/>
      <c r="I374" s="66"/>
      <c r="J374" s="66"/>
    </row>
    <row r="375" ht="12.75" customHeight="1">
      <c r="D375" s="66"/>
      <c r="E375" s="66"/>
      <c r="F375" s="66"/>
      <c r="G375" s="66"/>
      <c r="H375" s="66"/>
      <c r="I375" s="66"/>
      <c r="J375" s="66"/>
    </row>
    <row r="376" ht="12.75" customHeight="1">
      <c r="D376" s="66"/>
      <c r="E376" s="66"/>
      <c r="F376" s="66"/>
      <c r="G376" s="66"/>
      <c r="H376" s="66"/>
      <c r="I376" s="66"/>
      <c r="J376" s="66"/>
    </row>
    <row r="377" ht="12.75" customHeight="1">
      <c r="D377" s="66"/>
      <c r="E377" s="66"/>
      <c r="F377" s="66"/>
      <c r="G377" s="66"/>
      <c r="H377" s="66"/>
      <c r="I377" s="66"/>
      <c r="J377" s="66"/>
    </row>
    <row r="378" ht="12.75" customHeight="1">
      <c r="D378" s="66"/>
      <c r="E378" s="66"/>
      <c r="F378" s="66"/>
      <c r="G378" s="66"/>
      <c r="H378" s="66"/>
      <c r="I378" s="66"/>
      <c r="J378" s="66"/>
    </row>
    <row r="379" ht="12.75" customHeight="1">
      <c r="D379" s="66"/>
      <c r="E379" s="66"/>
      <c r="F379" s="66"/>
      <c r="G379" s="66"/>
      <c r="H379" s="66"/>
      <c r="I379" s="66"/>
      <c r="J379" s="66"/>
    </row>
    <row r="380" ht="12.75" customHeight="1">
      <c r="D380" s="66"/>
      <c r="E380" s="66"/>
      <c r="F380" s="66"/>
      <c r="G380" s="66"/>
      <c r="H380" s="66"/>
      <c r="I380" s="66"/>
      <c r="J380" s="66"/>
    </row>
    <row r="381" ht="12.75" customHeight="1">
      <c r="D381" s="66"/>
      <c r="E381" s="66"/>
      <c r="F381" s="66"/>
      <c r="G381" s="66"/>
      <c r="H381" s="66"/>
      <c r="I381" s="66"/>
      <c r="J381" s="66"/>
    </row>
    <row r="382" ht="12.75" customHeight="1">
      <c r="D382" s="66"/>
      <c r="E382" s="66"/>
      <c r="F382" s="66"/>
      <c r="G382" s="66"/>
      <c r="H382" s="66"/>
      <c r="I382" s="66"/>
      <c r="J382" s="66"/>
    </row>
    <row r="383" ht="12.75" customHeight="1">
      <c r="D383" s="66"/>
      <c r="E383" s="66"/>
      <c r="F383" s="66"/>
      <c r="G383" s="66"/>
      <c r="H383" s="66"/>
      <c r="I383" s="66"/>
      <c r="J383" s="66"/>
    </row>
    <row r="384" ht="12.75" customHeight="1">
      <c r="D384" s="66"/>
      <c r="E384" s="66"/>
      <c r="F384" s="66"/>
      <c r="G384" s="66"/>
      <c r="H384" s="66"/>
      <c r="I384" s="66"/>
      <c r="J384" s="66"/>
    </row>
    <row r="385" ht="12.75" customHeight="1">
      <c r="D385" s="66"/>
      <c r="E385" s="66"/>
      <c r="F385" s="66"/>
      <c r="G385" s="66"/>
      <c r="H385" s="66"/>
      <c r="I385" s="66"/>
      <c r="J385" s="66"/>
    </row>
    <row r="386" ht="12.75" customHeight="1">
      <c r="D386" s="66"/>
      <c r="E386" s="66"/>
      <c r="F386" s="66"/>
      <c r="G386" s="66"/>
      <c r="H386" s="66"/>
      <c r="I386" s="66"/>
      <c r="J386" s="66"/>
    </row>
    <row r="387" ht="12.75" customHeight="1">
      <c r="D387" s="66"/>
      <c r="E387" s="66"/>
      <c r="F387" s="66"/>
      <c r="G387" s="66"/>
      <c r="H387" s="66"/>
      <c r="I387" s="66"/>
      <c r="J387" s="66"/>
    </row>
    <row r="388" ht="12.75" customHeight="1">
      <c r="D388" s="66"/>
      <c r="E388" s="66"/>
      <c r="F388" s="66"/>
      <c r="G388" s="66"/>
      <c r="H388" s="66"/>
      <c r="I388" s="66"/>
      <c r="J388" s="66"/>
    </row>
    <row r="389" ht="12.75" customHeight="1">
      <c r="D389" s="66"/>
      <c r="E389" s="66"/>
      <c r="F389" s="66"/>
      <c r="G389" s="66"/>
      <c r="H389" s="66"/>
      <c r="I389" s="66"/>
      <c r="J389" s="66"/>
    </row>
    <row r="390" ht="12.75" customHeight="1">
      <c r="D390" s="66"/>
      <c r="E390" s="66"/>
      <c r="F390" s="66"/>
      <c r="G390" s="66"/>
      <c r="H390" s="66"/>
      <c r="I390" s="66"/>
      <c r="J390" s="66"/>
    </row>
    <row r="391" ht="12.75" customHeight="1">
      <c r="D391" s="66"/>
      <c r="E391" s="66"/>
      <c r="F391" s="66"/>
      <c r="G391" s="66"/>
      <c r="H391" s="66"/>
      <c r="I391" s="66"/>
      <c r="J391" s="66"/>
    </row>
    <row r="392" ht="12.75" customHeight="1">
      <c r="D392" s="66"/>
      <c r="E392" s="66"/>
      <c r="F392" s="66"/>
      <c r="G392" s="66"/>
      <c r="H392" s="66"/>
      <c r="I392" s="66"/>
      <c r="J392" s="66"/>
    </row>
    <row r="393" ht="12.75" customHeight="1">
      <c r="D393" s="66"/>
      <c r="E393" s="66"/>
      <c r="F393" s="66"/>
      <c r="G393" s="66"/>
      <c r="H393" s="66"/>
      <c r="I393" s="66"/>
      <c r="J393" s="66"/>
    </row>
    <row r="394" ht="12.75" customHeight="1">
      <c r="D394" s="66"/>
      <c r="E394" s="66"/>
      <c r="F394" s="66"/>
      <c r="G394" s="66"/>
      <c r="H394" s="66"/>
      <c r="I394" s="66"/>
      <c r="J394" s="66"/>
    </row>
    <row r="395" ht="12.75" customHeight="1">
      <c r="D395" s="66"/>
      <c r="E395" s="66"/>
      <c r="F395" s="66"/>
      <c r="G395" s="66"/>
      <c r="H395" s="66"/>
      <c r="I395" s="66"/>
      <c r="J395" s="66"/>
    </row>
    <row r="396" ht="12.75" customHeight="1">
      <c r="D396" s="66"/>
      <c r="E396" s="66"/>
      <c r="F396" s="66"/>
      <c r="G396" s="66"/>
      <c r="H396" s="66"/>
      <c r="I396" s="66"/>
      <c r="J396" s="66"/>
    </row>
    <row r="397" ht="12.75" customHeight="1">
      <c r="D397" s="66"/>
      <c r="E397" s="66"/>
      <c r="F397" s="66"/>
      <c r="G397" s="66"/>
      <c r="H397" s="66"/>
      <c r="I397" s="66"/>
      <c r="J397" s="66"/>
    </row>
    <row r="398" ht="12.75" customHeight="1">
      <c r="D398" s="66"/>
      <c r="E398" s="66"/>
      <c r="F398" s="66"/>
      <c r="G398" s="66"/>
      <c r="H398" s="66"/>
      <c r="I398" s="66"/>
      <c r="J398" s="66"/>
    </row>
    <row r="399" ht="12.75" customHeight="1">
      <c r="D399" s="66"/>
      <c r="E399" s="66"/>
      <c r="F399" s="66"/>
      <c r="G399" s="66"/>
      <c r="H399" s="66"/>
      <c r="I399" s="66"/>
      <c r="J399" s="66"/>
    </row>
    <row r="400" ht="12.75" customHeight="1">
      <c r="D400" s="66"/>
      <c r="E400" s="66"/>
      <c r="F400" s="66"/>
      <c r="G400" s="66"/>
      <c r="H400" s="66"/>
      <c r="I400" s="66"/>
      <c r="J400" s="66"/>
    </row>
    <row r="401" ht="12.75" customHeight="1">
      <c r="D401" s="66"/>
      <c r="E401" s="66"/>
      <c r="F401" s="66"/>
      <c r="G401" s="66"/>
      <c r="H401" s="66"/>
      <c r="I401" s="66"/>
      <c r="J401" s="66"/>
    </row>
    <row r="402" ht="12.75" customHeight="1">
      <c r="D402" s="66"/>
      <c r="E402" s="66"/>
      <c r="F402" s="66"/>
      <c r="G402" s="66"/>
      <c r="H402" s="66"/>
      <c r="I402" s="66"/>
      <c r="J402" s="66"/>
    </row>
    <row r="403" ht="12.75" customHeight="1">
      <c r="D403" s="66"/>
      <c r="E403" s="66"/>
      <c r="F403" s="66"/>
      <c r="G403" s="66"/>
      <c r="H403" s="66"/>
      <c r="I403" s="66"/>
      <c r="J403" s="66"/>
    </row>
    <row r="404" ht="12.75" customHeight="1">
      <c r="D404" s="66"/>
      <c r="E404" s="66"/>
      <c r="F404" s="66"/>
      <c r="G404" s="66"/>
      <c r="H404" s="66"/>
      <c r="I404" s="66"/>
      <c r="J404" s="66"/>
    </row>
    <row r="405" ht="12.75" customHeight="1">
      <c r="D405" s="66"/>
      <c r="E405" s="66"/>
      <c r="F405" s="66"/>
      <c r="G405" s="66"/>
      <c r="H405" s="66"/>
      <c r="I405" s="66"/>
      <c r="J405" s="66"/>
    </row>
    <row r="406" ht="12.75" customHeight="1">
      <c r="D406" s="66"/>
      <c r="E406" s="66"/>
      <c r="F406" s="66"/>
      <c r="G406" s="66"/>
      <c r="H406" s="66"/>
      <c r="I406" s="66"/>
      <c r="J406" s="66"/>
    </row>
    <row r="407" ht="12.75" customHeight="1">
      <c r="D407" s="66"/>
      <c r="E407" s="66"/>
      <c r="F407" s="66"/>
      <c r="G407" s="66"/>
      <c r="H407" s="66"/>
      <c r="I407" s="66"/>
      <c r="J407" s="66"/>
    </row>
    <row r="408" ht="12.75" customHeight="1">
      <c r="D408" s="66"/>
      <c r="E408" s="66"/>
      <c r="F408" s="66"/>
      <c r="G408" s="66"/>
      <c r="H408" s="66"/>
      <c r="I408" s="66"/>
      <c r="J408" s="66"/>
    </row>
    <row r="409" ht="12.75" customHeight="1">
      <c r="D409" s="66"/>
      <c r="E409" s="66"/>
      <c r="F409" s="66"/>
      <c r="G409" s="66"/>
      <c r="H409" s="66"/>
      <c r="I409" s="66"/>
      <c r="J409" s="66"/>
    </row>
    <row r="410" ht="12.75" customHeight="1">
      <c r="D410" s="66"/>
      <c r="E410" s="66"/>
      <c r="F410" s="66"/>
      <c r="G410" s="66"/>
      <c r="H410" s="66"/>
      <c r="I410" s="66"/>
      <c r="J410" s="66"/>
    </row>
    <row r="411" ht="12.75" customHeight="1">
      <c r="D411" s="66"/>
      <c r="E411" s="66"/>
      <c r="F411" s="66"/>
      <c r="G411" s="66"/>
      <c r="H411" s="66"/>
      <c r="I411" s="66"/>
      <c r="J411" s="66"/>
    </row>
    <row r="412" ht="12.75" customHeight="1">
      <c r="D412" s="66"/>
      <c r="E412" s="66"/>
      <c r="F412" s="66"/>
      <c r="G412" s="66"/>
      <c r="H412" s="66"/>
      <c r="I412" s="66"/>
      <c r="J412" s="66"/>
    </row>
    <row r="413" ht="12.75" customHeight="1">
      <c r="D413" s="66"/>
      <c r="E413" s="66"/>
      <c r="F413" s="66"/>
      <c r="G413" s="66"/>
      <c r="H413" s="66"/>
      <c r="I413" s="66"/>
      <c r="J413" s="66"/>
    </row>
    <row r="414" ht="12.75" customHeight="1">
      <c r="D414" s="66"/>
      <c r="E414" s="66"/>
      <c r="F414" s="66"/>
      <c r="G414" s="66"/>
      <c r="H414" s="66"/>
      <c r="I414" s="66"/>
      <c r="J414" s="66"/>
    </row>
    <row r="415" ht="12.75" customHeight="1">
      <c r="D415" s="66"/>
      <c r="E415" s="66"/>
      <c r="F415" s="66"/>
      <c r="G415" s="66"/>
      <c r="H415" s="66"/>
      <c r="I415" s="66"/>
      <c r="J415" s="66"/>
    </row>
    <row r="416" ht="12.75" customHeight="1">
      <c r="D416" s="66"/>
      <c r="E416" s="66"/>
      <c r="F416" s="66"/>
      <c r="G416" s="66"/>
      <c r="H416" s="66"/>
      <c r="I416" s="66"/>
      <c r="J416" s="66"/>
    </row>
    <row r="417" ht="12.75" customHeight="1">
      <c r="D417" s="66"/>
      <c r="E417" s="66"/>
      <c r="F417" s="66"/>
      <c r="G417" s="66"/>
      <c r="H417" s="66"/>
      <c r="I417" s="66"/>
      <c r="J417" s="66"/>
    </row>
    <row r="418" ht="12.75" customHeight="1">
      <c r="D418" s="66"/>
      <c r="E418" s="66"/>
      <c r="F418" s="66"/>
      <c r="G418" s="66"/>
      <c r="H418" s="66"/>
      <c r="I418" s="66"/>
      <c r="J418" s="66"/>
    </row>
    <row r="419" ht="12.75" customHeight="1">
      <c r="D419" s="66"/>
      <c r="E419" s="66"/>
      <c r="F419" s="66"/>
      <c r="G419" s="66"/>
      <c r="H419" s="66"/>
      <c r="I419" s="66"/>
      <c r="J419" s="66"/>
    </row>
    <row r="420" ht="12.75" customHeight="1">
      <c r="D420" s="66"/>
      <c r="E420" s="66"/>
      <c r="F420" s="66"/>
      <c r="G420" s="66"/>
      <c r="H420" s="66"/>
      <c r="I420" s="66"/>
      <c r="J420" s="66"/>
    </row>
    <row r="421" ht="12.75" customHeight="1">
      <c r="D421" s="66"/>
      <c r="E421" s="66"/>
      <c r="F421" s="66"/>
      <c r="G421" s="66"/>
      <c r="H421" s="66"/>
      <c r="I421" s="66"/>
      <c r="J421" s="66"/>
    </row>
    <row r="422" ht="12.75" customHeight="1">
      <c r="D422" s="66"/>
      <c r="E422" s="66"/>
      <c r="F422" s="66"/>
      <c r="G422" s="66"/>
      <c r="H422" s="66"/>
      <c r="I422" s="66"/>
      <c r="J422" s="66"/>
    </row>
    <row r="423" ht="12.75" customHeight="1">
      <c r="D423" s="66"/>
      <c r="E423" s="66"/>
      <c r="F423" s="66"/>
      <c r="G423" s="66"/>
      <c r="H423" s="66"/>
      <c r="I423" s="66"/>
      <c r="J423" s="66"/>
    </row>
    <row r="424" ht="12.75" customHeight="1">
      <c r="D424" s="66"/>
      <c r="E424" s="66"/>
      <c r="F424" s="66"/>
      <c r="G424" s="66"/>
      <c r="H424" s="66"/>
      <c r="I424" s="66"/>
      <c r="J424" s="66"/>
    </row>
    <row r="425" ht="12.75" customHeight="1">
      <c r="D425" s="66"/>
      <c r="E425" s="66"/>
      <c r="F425" s="66"/>
      <c r="G425" s="66"/>
      <c r="H425" s="66"/>
      <c r="I425" s="66"/>
      <c r="J425" s="66"/>
    </row>
    <row r="426" ht="12.75" customHeight="1">
      <c r="D426" s="66"/>
      <c r="E426" s="66"/>
      <c r="F426" s="66"/>
      <c r="G426" s="66"/>
      <c r="H426" s="66"/>
      <c r="I426" s="66"/>
      <c r="J426" s="66"/>
    </row>
    <row r="427" ht="12.75" customHeight="1">
      <c r="D427" s="66"/>
      <c r="E427" s="66"/>
      <c r="F427" s="66"/>
      <c r="G427" s="66"/>
      <c r="H427" s="66"/>
      <c r="I427" s="66"/>
      <c r="J427" s="66"/>
    </row>
    <row r="428" ht="12.75" customHeight="1">
      <c r="D428" s="66"/>
      <c r="E428" s="66"/>
      <c r="F428" s="66"/>
      <c r="G428" s="66"/>
      <c r="H428" s="66"/>
      <c r="I428" s="66"/>
      <c r="J428" s="66"/>
    </row>
    <row r="429" ht="12.75" customHeight="1">
      <c r="D429" s="66"/>
      <c r="E429" s="66"/>
      <c r="F429" s="66"/>
      <c r="G429" s="66"/>
      <c r="H429" s="66"/>
      <c r="I429" s="66"/>
      <c r="J429" s="66"/>
    </row>
    <row r="430" ht="12.75" customHeight="1">
      <c r="D430" s="66"/>
      <c r="E430" s="66"/>
      <c r="F430" s="66"/>
      <c r="G430" s="66"/>
      <c r="H430" s="66"/>
      <c r="I430" s="66"/>
      <c r="J430" s="66"/>
    </row>
    <row r="431" ht="12.75" customHeight="1">
      <c r="D431" s="66"/>
      <c r="E431" s="66"/>
      <c r="F431" s="66"/>
      <c r="G431" s="66"/>
      <c r="H431" s="66"/>
      <c r="I431" s="66"/>
      <c r="J431" s="66"/>
    </row>
    <row r="432" ht="12.75" customHeight="1">
      <c r="D432" s="66"/>
      <c r="E432" s="66"/>
      <c r="F432" s="66"/>
      <c r="G432" s="66"/>
      <c r="H432" s="66"/>
      <c r="I432" s="66"/>
      <c r="J432" s="66"/>
    </row>
    <row r="433" ht="12.75" customHeight="1">
      <c r="D433" s="66"/>
      <c r="E433" s="66"/>
      <c r="F433" s="66"/>
      <c r="G433" s="66"/>
      <c r="H433" s="66"/>
      <c r="I433" s="66"/>
      <c r="J433" s="66"/>
    </row>
    <row r="434" ht="12.75" customHeight="1">
      <c r="D434" s="66"/>
      <c r="E434" s="66"/>
      <c r="F434" s="66"/>
      <c r="G434" s="66"/>
      <c r="H434" s="66"/>
      <c r="I434" s="66"/>
      <c r="J434" s="66"/>
    </row>
    <row r="435" ht="12.75" customHeight="1">
      <c r="D435" s="66"/>
      <c r="E435" s="66"/>
      <c r="F435" s="66"/>
      <c r="G435" s="66"/>
      <c r="H435" s="66"/>
      <c r="I435" s="66"/>
      <c r="J435" s="66"/>
    </row>
    <row r="436" ht="12.75" customHeight="1">
      <c r="D436" s="66"/>
      <c r="E436" s="66"/>
      <c r="F436" s="66"/>
      <c r="G436" s="66"/>
      <c r="H436" s="66"/>
      <c r="I436" s="66"/>
      <c r="J436" s="66"/>
    </row>
    <row r="437" ht="12.75" customHeight="1">
      <c r="D437" s="66"/>
      <c r="E437" s="66"/>
      <c r="F437" s="66"/>
      <c r="G437" s="66"/>
      <c r="H437" s="66"/>
      <c r="I437" s="66"/>
      <c r="J437" s="66"/>
    </row>
    <row r="438" ht="12.75" customHeight="1">
      <c r="D438" s="66"/>
      <c r="E438" s="66"/>
      <c r="F438" s="66"/>
      <c r="G438" s="66"/>
      <c r="H438" s="66"/>
      <c r="I438" s="66"/>
      <c r="J438" s="66"/>
    </row>
    <row r="439" ht="12.75" customHeight="1">
      <c r="D439" s="66"/>
      <c r="E439" s="66"/>
      <c r="F439" s="66"/>
      <c r="G439" s="66"/>
      <c r="H439" s="66"/>
      <c r="I439" s="66"/>
      <c r="J439" s="66"/>
    </row>
    <row r="440" ht="12.75" customHeight="1">
      <c r="D440" s="66"/>
      <c r="E440" s="66"/>
      <c r="F440" s="66"/>
      <c r="G440" s="66"/>
      <c r="H440" s="66"/>
      <c r="I440" s="66"/>
      <c r="J440" s="66"/>
    </row>
    <row r="441" ht="12.75" customHeight="1">
      <c r="D441" s="66"/>
      <c r="E441" s="66"/>
      <c r="F441" s="66"/>
      <c r="G441" s="66"/>
      <c r="H441" s="66"/>
      <c r="I441" s="66"/>
      <c r="J441" s="66"/>
    </row>
    <row r="442" ht="12.75" customHeight="1">
      <c r="D442" s="66"/>
      <c r="E442" s="66"/>
      <c r="F442" s="66"/>
      <c r="G442" s="66"/>
      <c r="H442" s="66"/>
      <c r="I442" s="66"/>
      <c r="J442" s="66"/>
    </row>
    <row r="443" ht="12.75" customHeight="1">
      <c r="D443" s="66"/>
      <c r="E443" s="66"/>
      <c r="F443" s="66"/>
      <c r="G443" s="66"/>
      <c r="H443" s="66"/>
      <c r="I443" s="66"/>
      <c r="J443" s="66"/>
    </row>
    <row r="444" ht="12.75" customHeight="1">
      <c r="D444" s="66"/>
      <c r="E444" s="66"/>
      <c r="F444" s="66"/>
      <c r="G444" s="66"/>
      <c r="H444" s="66"/>
      <c r="I444" s="66"/>
      <c r="J444" s="66"/>
    </row>
    <row r="445" ht="12.75" customHeight="1">
      <c r="D445" s="66"/>
      <c r="E445" s="66"/>
      <c r="F445" s="66"/>
      <c r="G445" s="66"/>
      <c r="H445" s="66"/>
      <c r="I445" s="66"/>
      <c r="J445" s="66"/>
    </row>
    <row r="446" ht="12.75" customHeight="1">
      <c r="D446" s="66"/>
      <c r="E446" s="66"/>
      <c r="F446" s="66"/>
      <c r="G446" s="66"/>
      <c r="H446" s="66"/>
      <c r="I446" s="66"/>
      <c r="J446" s="66"/>
    </row>
    <row r="447" ht="12.75" customHeight="1">
      <c r="D447" s="66"/>
      <c r="E447" s="66"/>
      <c r="F447" s="66"/>
      <c r="G447" s="66"/>
      <c r="H447" s="66"/>
      <c r="I447" s="66"/>
      <c r="J447" s="66"/>
    </row>
    <row r="448" ht="12.75" customHeight="1">
      <c r="D448" s="66"/>
      <c r="E448" s="66"/>
      <c r="F448" s="66"/>
      <c r="G448" s="66"/>
      <c r="H448" s="66"/>
      <c r="I448" s="66"/>
      <c r="J448" s="66"/>
    </row>
    <row r="449" ht="12.75" customHeight="1">
      <c r="D449" s="66"/>
      <c r="E449" s="66"/>
      <c r="F449" s="66"/>
      <c r="G449" s="66"/>
      <c r="H449" s="66"/>
      <c r="I449" s="66"/>
      <c r="J449" s="66"/>
    </row>
    <row r="450" ht="12.75" customHeight="1">
      <c r="D450" s="66"/>
      <c r="E450" s="66"/>
      <c r="F450" s="66"/>
      <c r="G450" s="66"/>
      <c r="H450" s="66"/>
      <c r="I450" s="66"/>
      <c r="J450" s="66"/>
    </row>
    <row r="451" ht="12.75" customHeight="1">
      <c r="D451" s="66"/>
      <c r="E451" s="66"/>
      <c r="F451" s="66"/>
      <c r="G451" s="66"/>
      <c r="H451" s="66"/>
      <c r="I451" s="66"/>
      <c r="J451" s="66"/>
    </row>
    <row r="452" ht="12.75" customHeight="1">
      <c r="D452" s="66"/>
      <c r="E452" s="66"/>
      <c r="F452" s="66"/>
      <c r="G452" s="66"/>
      <c r="H452" s="66"/>
      <c r="I452" s="66"/>
      <c r="J452" s="66"/>
    </row>
    <row r="453" ht="12.75" customHeight="1">
      <c r="D453" s="66"/>
      <c r="E453" s="66"/>
      <c r="F453" s="66"/>
      <c r="G453" s="66"/>
      <c r="H453" s="66"/>
      <c r="I453" s="66"/>
      <c r="J453" s="66"/>
    </row>
    <row r="454" ht="12.75" customHeight="1">
      <c r="D454" s="66"/>
      <c r="E454" s="66"/>
      <c r="F454" s="66"/>
      <c r="G454" s="66"/>
      <c r="H454" s="66"/>
      <c r="I454" s="66"/>
      <c r="J454" s="66"/>
    </row>
    <row r="455" ht="12.75" customHeight="1">
      <c r="D455" s="66"/>
      <c r="E455" s="66"/>
      <c r="F455" s="66"/>
      <c r="G455" s="66"/>
      <c r="H455" s="66"/>
      <c r="I455" s="66"/>
      <c r="J455" s="66"/>
    </row>
    <row r="456" ht="12.75" customHeight="1">
      <c r="D456" s="66"/>
      <c r="E456" s="66"/>
      <c r="F456" s="66"/>
      <c r="G456" s="66"/>
      <c r="H456" s="66"/>
      <c r="I456" s="66"/>
      <c r="J456" s="66"/>
    </row>
    <row r="457" ht="12.75" customHeight="1">
      <c r="D457" s="66"/>
      <c r="E457" s="66"/>
      <c r="F457" s="66"/>
      <c r="G457" s="66"/>
      <c r="H457" s="66"/>
      <c r="I457" s="66"/>
      <c r="J457" s="66"/>
    </row>
    <row r="458" ht="12.75" customHeight="1">
      <c r="D458" s="66"/>
      <c r="E458" s="66"/>
      <c r="F458" s="66"/>
      <c r="G458" s="66"/>
      <c r="H458" s="66"/>
      <c r="I458" s="66"/>
      <c r="J458" s="66"/>
    </row>
    <row r="459" ht="12.75" customHeight="1">
      <c r="D459" s="66"/>
      <c r="E459" s="66"/>
      <c r="F459" s="66"/>
      <c r="G459" s="66"/>
      <c r="H459" s="66"/>
      <c r="I459" s="66"/>
      <c r="J459" s="66"/>
    </row>
    <row r="460" ht="12.75" customHeight="1">
      <c r="D460" s="66"/>
      <c r="E460" s="66"/>
      <c r="F460" s="66"/>
      <c r="G460" s="66"/>
      <c r="H460" s="66"/>
      <c r="I460" s="66"/>
      <c r="J460" s="66"/>
    </row>
    <row r="461" ht="12.75" customHeight="1">
      <c r="D461" s="66"/>
      <c r="E461" s="66"/>
      <c r="F461" s="66"/>
      <c r="G461" s="66"/>
      <c r="H461" s="66"/>
      <c r="I461" s="66"/>
      <c r="J461" s="66"/>
    </row>
    <row r="462" ht="12.75" customHeight="1">
      <c r="D462" s="66"/>
      <c r="E462" s="66"/>
      <c r="F462" s="66"/>
      <c r="G462" s="66"/>
      <c r="H462" s="66"/>
      <c r="I462" s="66"/>
      <c r="J462" s="66"/>
    </row>
    <row r="463" ht="12.75" customHeight="1">
      <c r="D463" s="66"/>
      <c r="E463" s="66"/>
      <c r="F463" s="66"/>
      <c r="G463" s="66"/>
      <c r="H463" s="66"/>
      <c r="I463" s="66"/>
      <c r="J463" s="66"/>
    </row>
    <row r="464" ht="12.75" customHeight="1">
      <c r="D464" s="66"/>
      <c r="E464" s="66"/>
      <c r="F464" s="66"/>
      <c r="G464" s="66"/>
      <c r="H464" s="66"/>
      <c r="I464" s="66"/>
      <c r="J464" s="66"/>
    </row>
    <row r="465" ht="12.75" customHeight="1">
      <c r="D465" s="66"/>
      <c r="E465" s="66"/>
      <c r="F465" s="66"/>
      <c r="G465" s="66"/>
      <c r="H465" s="66"/>
      <c r="I465" s="66"/>
      <c r="J465" s="66"/>
    </row>
    <row r="466" ht="12.75" customHeight="1">
      <c r="D466" s="66"/>
      <c r="E466" s="66"/>
      <c r="F466" s="66"/>
      <c r="G466" s="66"/>
      <c r="H466" s="66"/>
      <c r="I466" s="66"/>
      <c r="J466" s="66"/>
    </row>
    <row r="467" ht="12.75" customHeight="1">
      <c r="D467" s="66"/>
      <c r="E467" s="66"/>
      <c r="F467" s="66"/>
      <c r="G467" s="66"/>
      <c r="H467" s="66"/>
      <c r="I467" s="66"/>
      <c r="J467" s="66"/>
    </row>
    <row r="468" ht="12.75" customHeight="1">
      <c r="D468" s="66"/>
      <c r="E468" s="66"/>
      <c r="F468" s="66"/>
      <c r="G468" s="66"/>
      <c r="H468" s="66"/>
      <c r="I468" s="66"/>
      <c r="J468" s="66"/>
    </row>
    <row r="469" ht="12.75" customHeight="1">
      <c r="D469" s="66"/>
      <c r="E469" s="66"/>
      <c r="F469" s="66"/>
      <c r="G469" s="66"/>
      <c r="H469" s="66"/>
      <c r="I469" s="66"/>
      <c r="J469" s="66"/>
    </row>
    <row r="470" ht="12.75" customHeight="1">
      <c r="D470" s="66"/>
      <c r="E470" s="66"/>
      <c r="F470" s="66"/>
      <c r="G470" s="66"/>
      <c r="H470" s="66"/>
      <c r="I470" s="66"/>
      <c r="J470" s="66"/>
    </row>
    <row r="471" ht="12.75" customHeight="1">
      <c r="D471" s="66"/>
      <c r="E471" s="66"/>
      <c r="F471" s="66"/>
      <c r="G471" s="66"/>
      <c r="H471" s="66"/>
      <c r="I471" s="66"/>
      <c r="J471" s="66"/>
    </row>
    <row r="472" ht="12.75" customHeight="1">
      <c r="D472" s="66"/>
      <c r="E472" s="66"/>
      <c r="F472" s="66"/>
      <c r="G472" s="66"/>
      <c r="H472" s="66"/>
      <c r="I472" s="66"/>
      <c r="J472" s="66"/>
    </row>
    <row r="473" ht="12.75" customHeight="1">
      <c r="D473" s="66"/>
      <c r="E473" s="66"/>
      <c r="F473" s="66"/>
      <c r="G473" s="66"/>
      <c r="H473" s="66"/>
      <c r="I473" s="66"/>
      <c r="J473" s="66"/>
    </row>
    <row r="474" ht="12.75" customHeight="1">
      <c r="D474" s="66"/>
      <c r="E474" s="66"/>
      <c r="F474" s="66"/>
      <c r="G474" s="66"/>
      <c r="H474" s="66"/>
      <c r="I474" s="66"/>
      <c r="J474" s="66"/>
    </row>
    <row r="475" ht="12.75" customHeight="1">
      <c r="D475" s="66"/>
      <c r="E475" s="66"/>
      <c r="F475" s="66"/>
      <c r="G475" s="66"/>
      <c r="H475" s="66"/>
      <c r="I475" s="66"/>
      <c r="J475" s="66"/>
    </row>
    <row r="476" ht="12.75" customHeight="1">
      <c r="D476" s="66"/>
      <c r="E476" s="66"/>
      <c r="F476" s="66"/>
      <c r="G476" s="66"/>
      <c r="H476" s="66"/>
      <c r="I476" s="66"/>
      <c r="J476" s="66"/>
    </row>
    <row r="477" ht="12.75" customHeight="1">
      <c r="D477" s="66"/>
      <c r="E477" s="66"/>
      <c r="F477" s="66"/>
      <c r="G477" s="66"/>
      <c r="H477" s="66"/>
      <c r="I477" s="66"/>
      <c r="J477" s="66"/>
    </row>
    <row r="478" ht="12.75" customHeight="1">
      <c r="D478" s="66"/>
      <c r="E478" s="66"/>
      <c r="F478" s="66"/>
      <c r="G478" s="66"/>
      <c r="H478" s="66"/>
      <c r="I478" s="66"/>
      <c r="J478" s="66"/>
    </row>
    <row r="479" ht="12.75" customHeight="1">
      <c r="D479" s="66"/>
      <c r="E479" s="66"/>
      <c r="F479" s="66"/>
      <c r="G479" s="66"/>
      <c r="H479" s="66"/>
      <c r="I479" s="66"/>
      <c r="J479" s="66"/>
    </row>
    <row r="480" ht="12.75" customHeight="1">
      <c r="D480" s="66"/>
      <c r="E480" s="66"/>
      <c r="F480" s="66"/>
      <c r="G480" s="66"/>
      <c r="H480" s="66"/>
      <c r="I480" s="66"/>
      <c r="J480" s="66"/>
    </row>
    <row r="481" ht="12.75" customHeight="1">
      <c r="D481" s="66"/>
      <c r="E481" s="66"/>
      <c r="F481" s="66"/>
      <c r="G481" s="66"/>
      <c r="H481" s="66"/>
      <c r="I481" s="66"/>
      <c r="J481" s="66"/>
    </row>
    <row r="482" ht="12.75" customHeight="1">
      <c r="D482" s="66"/>
      <c r="E482" s="66"/>
      <c r="F482" s="66"/>
      <c r="G482" s="66"/>
      <c r="H482" s="66"/>
      <c r="I482" s="66"/>
      <c r="J482" s="66"/>
    </row>
    <row r="483" ht="12.75" customHeight="1">
      <c r="D483" s="66"/>
      <c r="E483" s="66"/>
      <c r="F483" s="66"/>
      <c r="G483" s="66"/>
      <c r="H483" s="66"/>
      <c r="I483" s="66"/>
      <c r="J483" s="66"/>
    </row>
    <row r="484" ht="12.75" customHeight="1">
      <c r="D484" s="66"/>
      <c r="E484" s="66"/>
      <c r="F484" s="66"/>
      <c r="G484" s="66"/>
      <c r="H484" s="66"/>
      <c r="I484" s="66"/>
      <c r="J484" s="66"/>
    </row>
    <row r="485" ht="12.75" customHeight="1">
      <c r="D485" s="66"/>
      <c r="E485" s="66"/>
      <c r="F485" s="66"/>
      <c r="G485" s="66"/>
      <c r="H485" s="66"/>
      <c r="I485" s="66"/>
      <c r="J485" s="66"/>
    </row>
    <row r="486" ht="12.75" customHeight="1">
      <c r="D486" s="66"/>
      <c r="E486" s="66"/>
      <c r="F486" s="66"/>
      <c r="G486" s="66"/>
      <c r="H486" s="66"/>
      <c r="I486" s="66"/>
      <c r="J486" s="66"/>
    </row>
    <row r="487" ht="12.75" customHeight="1">
      <c r="D487" s="66"/>
      <c r="E487" s="66"/>
      <c r="F487" s="66"/>
      <c r="G487" s="66"/>
      <c r="H487" s="66"/>
      <c r="I487" s="66"/>
      <c r="J487" s="66"/>
    </row>
    <row r="488" ht="12.75" customHeight="1">
      <c r="D488" s="66"/>
      <c r="E488" s="66"/>
      <c r="F488" s="66"/>
      <c r="G488" s="66"/>
      <c r="H488" s="66"/>
      <c r="I488" s="66"/>
      <c r="J488" s="66"/>
    </row>
    <row r="489" ht="12.75" customHeight="1">
      <c r="D489" s="66"/>
      <c r="E489" s="66"/>
      <c r="F489" s="66"/>
      <c r="G489" s="66"/>
      <c r="H489" s="66"/>
      <c r="I489" s="66"/>
      <c r="J489" s="66"/>
    </row>
    <row r="490" ht="12.75" customHeight="1">
      <c r="D490" s="66"/>
      <c r="E490" s="66"/>
      <c r="F490" s="66"/>
      <c r="G490" s="66"/>
      <c r="H490" s="66"/>
      <c r="I490" s="66"/>
      <c r="J490" s="66"/>
    </row>
    <row r="491" ht="12.75" customHeight="1">
      <c r="D491" s="66"/>
      <c r="E491" s="66"/>
      <c r="F491" s="66"/>
      <c r="G491" s="66"/>
      <c r="H491" s="66"/>
      <c r="I491" s="66"/>
      <c r="J491" s="66"/>
    </row>
    <row r="492" ht="12.75" customHeight="1">
      <c r="D492" s="66"/>
      <c r="E492" s="66"/>
      <c r="F492" s="66"/>
      <c r="G492" s="66"/>
      <c r="H492" s="66"/>
      <c r="I492" s="66"/>
      <c r="J492" s="66"/>
    </row>
    <row r="493" ht="12.75" customHeight="1">
      <c r="D493" s="66"/>
      <c r="E493" s="66"/>
      <c r="F493" s="66"/>
      <c r="G493" s="66"/>
      <c r="H493" s="66"/>
      <c r="I493" s="66"/>
      <c r="J493" s="66"/>
    </row>
    <row r="494" ht="12.75" customHeight="1">
      <c r="D494" s="66"/>
      <c r="E494" s="66"/>
      <c r="F494" s="66"/>
      <c r="G494" s="66"/>
      <c r="H494" s="66"/>
      <c r="I494" s="66"/>
      <c r="J494" s="66"/>
    </row>
    <row r="495" ht="12.75" customHeight="1">
      <c r="D495" s="66"/>
      <c r="E495" s="66"/>
      <c r="F495" s="66"/>
      <c r="G495" s="66"/>
      <c r="H495" s="66"/>
      <c r="I495" s="66"/>
      <c r="J495" s="66"/>
    </row>
    <row r="496" ht="12.75" customHeight="1">
      <c r="D496" s="66"/>
      <c r="E496" s="66"/>
      <c r="F496" s="66"/>
      <c r="G496" s="66"/>
      <c r="H496" s="66"/>
      <c r="I496" s="66"/>
      <c r="J496" s="66"/>
    </row>
    <row r="497" ht="12.75" customHeight="1">
      <c r="D497" s="66"/>
      <c r="E497" s="66"/>
      <c r="F497" s="66"/>
      <c r="G497" s="66"/>
      <c r="H497" s="66"/>
      <c r="I497" s="66"/>
      <c r="J497" s="66"/>
    </row>
    <row r="498" ht="12.75" customHeight="1">
      <c r="D498" s="66"/>
      <c r="E498" s="66"/>
      <c r="F498" s="66"/>
      <c r="G498" s="66"/>
      <c r="H498" s="66"/>
      <c r="I498" s="66"/>
      <c r="J498" s="66"/>
    </row>
    <row r="499" ht="12.75" customHeight="1">
      <c r="D499" s="66"/>
      <c r="E499" s="66"/>
      <c r="F499" s="66"/>
      <c r="G499" s="66"/>
      <c r="H499" s="66"/>
      <c r="I499" s="66"/>
      <c r="J499" s="66"/>
    </row>
    <row r="500" ht="12.75" customHeight="1">
      <c r="D500" s="66"/>
      <c r="E500" s="66"/>
      <c r="F500" s="66"/>
      <c r="G500" s="66"/>
      <c r="H500" s="66"/>
      <c r="I500" s="66"/>
      <c r="J500" s="66"/>
    </row>
    <row r="501" ht="12.75" customHeight="1">
      <c r="D501" s="66"/>
      <c r="E501" s="66"/>
      <c r="F501" s="66"/>
      <c r="G501" s="66"/>
      <c r="H501" s="66"/>
      <c r="I501" s="66"/>
      <c r="J501" s="66"/>
    </row>
    <row r="502" ht="12.75" customHeight="1">
      <c r="D502" s="66"/>
      <c r="E502" s="66"/>
      <c r="F502" s="66"/>
      <c r="G502" s="66"/>
      <c r="H502" s="66"/>
      <c r="I502" s="66"/>
      <c r="J502" s="66"/>
    </row>
    <row r="503" ht="12.75" customHeight="1">
      <c r="D503" s="66"/>
      <c r="E503" s="66"/>
      <c r="F503" s="66"/>
      <c r="G503" s="66"/>
      <c r="H503" s="66"/>
      <c r="I503" s="66"/>
      <c r="J503" s="66"/>
    </row>
    <row r="504" ht="12.75" customHeight="1">
      <c r="D504" s="66"/>
      <c r="E504" s="66"/>
      <c r="F504" s="66"/>
      <c r="G504" s="66"/>
      <c r="H504" s="66"/>
      <c r="I504" s="66"/>
      <c r="J504" s="66"/>
    </row>
    <row r="505" ht="12.75" customHeight="1">
      <c r="D505" s="66"/>
      <c r="E505" s="66"/>
      <c r="F505" s="66"/>
      <c r="G505" s="66"/>
      <c r="H505" s="66"/>
      <c r="I505" s="66"/>
      <c r="J505" s="66"/>
    </row>
    <row r="506" ht="12.75" customHeight="1">
      <c r="D506" s="66"/>
      <c r="E506" s="66"/>
      <c r="F506" s="66"/>
      <c r="G506" s="66"/>
      <c r="H506" s="66"/>
      <c r="I506" s="66"/>
      <c r="J506" s="66"/>
    </row>
    <row r="507" ht="12.75" customHeight="1">
      <c r="D507" s="66"/>
      <c r="E507" s="66"/>
      <c r="F507" s="66"/>
      <c r="G507" s="66"/>
      <c r="H507" s="66"/>
      <c r="I507" s="66"/>
      <c r="J507" s="66"/>
    </row>
    <row r="508" ht="12.75" customHeight="1">
      <c r="D508" s="66"/>
      <c r="E508" s="66"/>
      <c r="F508" s="66"/>
      <c r="G508" s="66"/>
      <c r="H508" s="66"/>
      <c r="I508" s="66"/>
      <c r="J508" s="66"/>
    </row>
    <row r="509" ht="12.75" customHeight="1">
      <c r="D509" s="66"/>
      <c r="E509" s="66"/>
      <c r="F509" s="66"/>
      <c r="G509" s="66"/>
      <c r="H509" s="66"/>
      <c r="I509" s="66"/>
      <c r="J509" s="66"/>
    </row>
    <row r="510" ht="12.75" customHeight="1">
      <c r="D510" s="66"/>
      <c r="E510" s="66"/>
      <c r="F510" s="66"/>
      <c r="G510" s="66"/>
      <c r="H510" s="66"/>
      <c r="I510" s="66"/>
      <c r="J510" s="66"/>
    </row>
    <row r="511" ht="12.75" customHeight="1">
      <c r="D511" s="66"/>
      <c r="E511" s="66"/>
      <c r="F511" s="66"/>
      <c r="G511" s="66"/>
      <c r="H511" s="66"/>
      <c r="I511" s="66"/>
      <c r="J511" s="66"/>
    </row>
    <row r="512" ht="12.75" customHeight="1">
      <c r="D512" s="66"/>
      <c r="E512" s="66"/>
      <c r="F512" s="66"/>
      <c r="G512" s="66"/>
      <c r="H512" s="66"/>
      <c r="I512" s="66"/>
      <c r="J512" s="66"/>
    </row>
    <row r="513" ht="12.75" customHeight="1">
      <c r="D513" s="66"/>
      <c r="E513" s="66"/>
      <c r="F513" s="66"/>
      <c r="G513" s="66"/>
      <c r="H513" s="66"/>
      <c r="I513" s="66"/>
      <c r="J513" s="66"/>
    </row>
    <row r="514" ht="12.75" customHeight="1">
      <c r="D514" s="66"/>
      <c r="E514" s="66"/>
      <c r="F514" s="66"/>
      <c r="G514" s="66"/>
      <c r="H514" s="66"/>
      <c r="I514" s="66"/>
      <c r="J514" s="66"/>
    </row>
    <row r="515" ht="12.75" customHeight="1">
      <c r="D515" s="66"/>
      <c r="E515" s="66"/>
      <c r="F515" s="66"/>
      <c r="G515" s="66"/>
      <c r="H515" s="66"/>
      <c r="I515" s="66"/>
      <c r="J515" s="66"/>
    </row>
    <row r="516" ht="12.75" customHeight="1">
      <c r="D516" s="66"/>
      <c r="E516" s="66"/>
      <c r="F516" s="66"/>
      <c r="G516" s="66"/>
      <c r="H516" s="66"/>
      <c r="I516" s="66"/>
      <c r="J516" s="66"/>
    </row>
    <row r="517" ht="12.75" customHeight="1">
      <c r="D517" s="66"/>
      <c r="E517" s="66"/>
      <c r="F517" s="66"/>
      <c r="G517" s="66"/>
      <c r="H517" s="66"/>
      <c r="I517" s="66"/>
      <c r="J517" s="66"/>
    </row>
    <row r="518" ht="12.75" customHeight="1">
      <c r="D518" s="66"/>
      <c r="E518" s="66"/>
      <c r="F518" s="66"/>
      <c r="G518" s="66"/>
      <c r="H518" s="66"/>
      <c r="I518" s="66"/>
      <c r="J518" s="66"/>
    </row>
    <row r="519" ht="12.75" customHeight="1">
      <c r="D519" s="66"/>
      <c r="E519" s="66"/>
      <c r="F519" s="66"/>
      <c r="G519" s="66"/>
      <c r="H519" s="66"/>
      <c r="I519" s="66"/>
      <c r="J519" s="66"/>
    </row>
    <row r="520" ht="12.75" customHeight="1">
      <c r="D520" s="66"/>
      <c r="E520" s="66"/>
      <c r="F520" s="66"/>
      <c r="G520" s="66"/>
      <c r="H520" s="66"/>
      <c r="I520" s="66"/>
      <c r="J520" s="66"/>
    </row>
    <row r="521" ht="12.75" customHeight="1">
      <c r="D521" s="66"/>
      <c r="E521" s="66"/>
      <c r="F521" s="66"/>
      <c r="G521" s="66"/>
      <c r="H521" s="66"/>
      <c r="I521" s="66"/>
      <c r="J521" s="66"/>
    </row>
    <row r="522" ht="12.75" customHeight="1">
      <c r="D522" s="66"/>
      <c r="E522" s="66"/>
      <c r="F522" s="66"/>
      <c r="G522" s="66"/>
      <c r="H522" s="66"/>
      <c r="I522" s="66"/>
      <c r="J522" s="66"/>
    </row>
    <row r="523" ht="12.75" customHeight="1">
      <c r="D523" s="66"/>
      <c r="E523" s="66"/>
      <c r="F523" s="66"/>
      <c r="G523" s="66"/>
      <c r="H523" s="66"/>
      <c r="I523" s="66"/>
      <c r="J523" s="66"/>
    </row>
    <row r="524" ht="12.75" customHeight="1">
      <c r="D524" s="66"/>
      <c r="E524" s="66"/>
      <c r="F524" s="66"/>
      <c r="G524" s="66"/>
      <c r="H524" s="66"/>
      <c r="I524" s="66"/>
      <c r="J524" s="66"/>
    </row>
    <row r="525" ht="12.75" customHeight="1">
      <c r="D525" s="66"/>
      <c r="E525" s="66"/>
      <c r="F525" s="66"/>
      <c r="G525" s="66"/>
      <c r="H525" s="66"/>
      <c r="I525" s="66"/>
      <c r="J525" s="66"/>
    </row>
    <row r="526" ht="12.75" customHeight="1">
      <c r="D526" s="66"/>
      <c r="E526" s="66"/>
      <c r="F526" s="66"/>
      <c r="G526" s="66"/>
      <c r="H526" s="66"/>
      <c r="I526" s="66"/>
      <c r="J526" s="66"/>
    </row>
    <row r="527" ht="12.75" customHeight="1">
      <c r="D527" s="66"/>
      <c r="E527" s="66"/>
      <c r="F527" s="66"/>
      <c r="G527" s="66"/>
      <c r="H527" s="66"/>
      <c r="I527" s="66"/>
      <c r="J527" s="66"/>
    </row>
    <row r="528" ht="12.75" customHeight="1">
      <c r="D528" s="66"/>
      <c r="E528" s="66"/>
      <c r="F528" s="66"/>
      <c r="G528" s="66"/>
      <c r="H528" s="66"/>
      <c r="I528" s="66"/>
      <c r="J528" s="66"/>
    </row>
    <row r="529" ht="12.75" customHeight="1">
      <c r="D529" s="66"/>
      <c r="E529" s="66"/>
      <c r="F529" s="66"/>
      <c r="G529" s="66"/>
      <c r="H529" s="66"/>
      <c r="I529" s="66"/>
      <c r="J529" s="66"/>
    </row>
    <row r="530" ht="12.75" customHeight="1">
      <c r="D530" s="66"/>
      <c r="E530" s="66"/>
      <c r="F530" s="66"/>
      <c r="G530" s="66"/>
      <c r="H530" s="66"/>
      <c r="I530" s="66"/>
      <c r="J530" s="66"/>
    </row>
    <row r="531" ht="12.75" customHeight="1">
      <c r="D531" s="66"/>
      <c r="E531" s="66"/>
      <c r="F531" s="66"/>
      <c r="G531" s="66"/>
      <c r="H531" s="66"/>
      <c r="I531" s="66"/>
      <c r="J531" s="66"/>
    </row>
    <row r="532" ht="12.75" customHeight="1">
      <c r="D532" s="66"/>
      <c r="E532" s="66"/>
      <c r="F532" s="66"/>
      <c r="G532" s="66"/>
      <c r="H532" s="66"/>
      <c r="I532" s="66"/>
      <c r="J532" s="66"/>
    </row>
    <row r="533" ht="12.75" customHeight="1">
      <c r="D533" s="66"/>
      <c r="E533" s="66"/>
      <c r="F533" s="66"/>
      <c r="G533" s="66"/>
      <c r="H533" s="66"/>
      <c r="I533" s="66"/>
      <c r="J533" s="66"/>
    </row>
    <row r="534" ht="12.75" customHeight="1">
      <c r="D534" s="66"/>
      <c r="E534" s="66"/>
      <c r="F534" s="66"/>
      <c r="G534" s="66"/>
      <c r="H534" s="66"/>
      <c r="I534" s="66"/>
      <c r="J534" s="66"/>
    </row>
    <row r="535" ht="12.75" customHeight="1">
      <c r="D535" s="66"/>
      <c r="E535" s="66"/>
      <c r="F535" s="66"/>
      <c r="G535" s="66"/>
      <c r="H535" s="66"/>
      <c r="I535" s="66"/>
      <c r="J535" s="66"/>
    </row>
    <row r="536" ht="12.75" customHeight="1">
      <c r="D536" s="66"/>
      <c r="E536" s="66"/>
      <c r="F536" s="66"/>
      <c r="G536" s="66"/>
      <c r="H536" s="66"/>
      <c r="I536" s="66"/>
      <c r="J536" s="66"/>
    </row>
    <row r="537" ht="12.75" customHeight="1">
      <c r="D537" s="66"/>
      <c r="E537" s="66"/>
      <c r="F537" s="66"/>
      <c r="G537" s="66"/>
      <c r="H537" s="66"/>
      <c r="I537" s="66"/>
      <c r="J537" s="66"/>
    </row>
    <row r="538" ht="12.75" customHeight="1">
      <c r="D538" s="66"/>
      <c r="E538" s="66"/>
      <c r="F538" s="66"/>
      <c r="G538" s="66"/>
      <c r="H538" s="66"/>
      <c r="I538" s="66"/>
      <c r="J538" s="66"/>
    </row>
    <row r="539" ht="12.75" customHeight="1">
      <c r="D539" s="66"/>
      <c r="E539" s="66"/>
      <c r="F539" s="66"/>
      <c r="G539" s="66"/>
      <c r="H539" s="66"/>
      <c r="I539" s="66"/>
      <c r="J539" s="66"/>
    </row>
    <row r="540" ht="12.75" customHeight="1">
      <c r="D540" s="66"/>
      <c r="E540" s="66"/>
      <c r="F540" s="66"/>
      <c r="G540" s="66"/>
      <c r="H540" s="66"/>
      <c r="I540" s="66"/>
      <c r="J540" s="66"/>
    </row>
    <row r="541" ht="12.75" customHeight="1">
      <c r="D541" s="66"/>
      <c r="E541" s="66"/>
      <c r="F541" s="66"/>
      <c r="G541" s="66"/>
      <c r="H541" s="66"/>
      <c r="I541" s="66"/>
      <c r="J541" s="66"/>
    </row>
    <row r="542" ht="12.75" customHeight="1">
      <c r="D542" s="66"/>
      <c r="E542" s="66"/>
      <c r="F542" s="66"/>
      <c r="G542" s="66"/>
      <c r="H542" s="66"/>
      <c r="I542" s="66"/>
      <c r="J542" s="66"/>
    </row>
    <row r="543" ht="12.75" customHeight="1">
      <c r="D543" s="66"/>
      <c r="E543" s="66"/>
      <c r="F543" s="66"/>
      <c r="G543" s="66"/>
      <c r="H543" s="66"/>
      <c r="I543" s="66"/>
      <c r="J543" s="66"/>
    </row>
    <row r="544" ht="12.75" customHeight="1">
      <c r="D544" s="66"/>
      <c r="E544" s="66"/>
      <c r="F544" s="66"/>
      <c r="G544" s="66"/>
      <c r="H544" s="66"/>
      <c r="I544" s="66"/>
      <c r="J544" s="66"/>
    </row>
    <row r="545" ht="12.75" customHeight="1">
      <c r="D545" s="66"/>
      <c r="E545" s="66"/>
      <c r="F545" s="66"/>
      <c r="G545" s="66"/>
      <c r="H545" s="66"/>
      <c r="I545" s="66"/>
      <c r="J545" s="66"/>
    </row>
    <row r="546" ht="12.75" customHeight="1">
      <c r="D546" s="66"/>
      <c r="E546" s="66"/>
      <c r="F546" s="66"/>
      <c r="G546" s="66"/>
      <c r="H546" s="66"/>
      <c r="I546" s="66"/>
      <c r="J546" s="66"/>
    </row>
    <row r="547" ht="12.75" customHeight="1">
      <c r="D547" s="66"/>
      <c r="E547" s="66"/>
      <c r="F547" s="66"/>
      <c r="G547" s="66"/>
      <c r="H547" s="66"/>
      <c r="I547" s="66"/>
      <c r="J547" s="66"/>
    </row>
    <row r="548" ht="12.75" customHeight="1">
      <c r="D548" s="66"/>
      <c r="E548" s="66"/>
      <c r="F548" s="66"/>
      <c r="G548" s="66"/>
      <c r="H548" s="66"/>
      <c r="I548" s="66"/>
      <c r="J548" s="66"/>
    </row>
    <row r="549" ht="12.75" customHeight="1">
      <c r="D549" s="66"/>
      <c r="E549" s="66"/>
      <c r="F549" s="66"/>
      <c r="G549" s="66"/>
      <c r="H549" s="66"/>
      <c r="I549" s="66"/>
      <c r="J549" s="66"/>
    </row>
    <row r="550" ht="12.75" customHeight="1">
      <c r="D550" s="66"/>
      <c r="E550" s="66"/>
      <c r="F550" s="66"/>
      <c r="G550" s="66"/>
      <c r="H550" s="66"/>
      <c r="I550" s="66"/>
      <c r="J550" s="66"/>
    </row>
    <row r="551" ht="12.75" customHeight="1">
      <c r="D551" s="66"/>
      <c r="E551" s="66"/>
      <c r="F551" s="66"/>
      <c r="G551" s="66"/>
      <c r="H551" s="66"/>
      <c r="I551" s="66"/>
      <c r="J551" s="66"/>
    </row>
    <row r="552" ht="12.75" customHeight="1">
      <c r="D552" s="66"/>
      <c r="E552" s="66"/>
      <c r="F552" s="66"/>
      <c r="G552" s="66"/>
      <c r="H552" s="66"/>
      <c r="I552" s="66"/>
      <c r="J552" s="66"/>
    </row>
    <row r="553" ht="12.75" customHeight="1">
      <c r="D553" s="66"/>
      <c r="E553" s="66"/>
      <c r="F553" s="66"/>
      <c r="G553" s="66"/>
      <c r="H553" s="66"/>
      <c r="I553" s="66"/>
      <c r="J553" s="66"/>
    </row>
    <row r="554" ht="12.75" customHeight="1">
      <c r="D554" s="66"/>
      <c r="E554" s="66"/>
      <c r="F554" s="66"/>
      <c r="G554" s="66"/>
      <c r="H554" s="66"/>
      <c r="I554" s="66"/>
      <c r="J554" s="66"/>
    </row>
    <row r="555" ht="12.75" customHeight="1">
      <c r="D555" s="66"/>
      <c r="E555" s="66"/>
      <c r="F555" s="66"/>
      <c r="G555" s="66"/>
      <c r="H555" s="66"/>
      <c r="I555" s="66"/>
      <c r="J555" s="66"/>
    </row>
    <row r="556" ht="12.75" customHeight="1">
      <c r="D556" s="66"/>
      <c r="E556" s="66"/>
      <c r="F556" s="66"/>
      <c r="G556" s="66"/>
      <c r="H556" s="66"/>
      <c r="I556" s="66"/>
      <c r="J556" s="66"/>
    </row>
    <row r="557" ht="12.75" customHeight="1">
      <c r="D557" s="66"/>
      <c r="E557" s="66"/>
      <c r="F557" s="66"/>
      <c r="G557" s="66"/>
      <c r="H557" s="66"/>
      <c r="I557" s="66"/>
      <c r="J557" s="66"/>
    </row>
    <row r="558" ht="12.75" customHeight="1">
      <c r="D558" s="66"/>
      <c r="E558" s="66"/>
      <c r="F558" s="66"/>
      <c r="G558" s="66"/>
      <c r="H558" s="66"/>
      <c r="I558" s="66"/>
      <c r="J558" s="66"/>
    </row>
    <row r="559" ht="12.75" customHeight="1">
      <c r="D559" s="66"/>
      <c r="E559" s="66"/>
      <c r="F559" s="66"/>
      <c r="G559" s="66"/>
      <c r="H559" s="66"/>
      <c r="I559" s="66"/>
      <c r="J559" s="66"/>
    </row>
    <row r="560" ht="12.75" customHeight="1">
      <c r="D560" s="66"/>
      <c r="E560" s="66"/>
      <c r="F560" s="66"/>
      <c r="G560" s="66"/>
      <c r="H560" s="66"/>
      <c r="I560" s="66"/>
      <c r="J560" s="66"/>
    </row>
    <row r="561" ht="12.75" customHeight="1">
      <c r="D561" s="66"/>
      <c r="E561" s="66"/>
      <c r="F561" s="66"/>
      <c r="G561" s="66"/>
      <c r="H561" s="66"/>
      <c r="I561" s="66"/>
      <c r="J561" s="66"/>
    </row>
    <row r="562" ht="12.75" customHeight="1">
      <c r="D562" s="66"/>
      <c r="E562" s="66"/>
      <c r="F562" s="66"/>
      <c r="G562" s="66"/>
      <c r="H562" s="66"/>
      <c r="I562" s="66"/>
      <c r="J562" s="66"/>
    </row>
    <row r="563" ht="12.75" customHeight="1">
      <c r="D563" s="66"/>
      <c r="E563" s="66"/>
      <c r="F563" s="66"/>
      <c r="G563" s="66"/>
      <c r="H563" s="66"/>
      <c r="I563" s="66"/>
      <c r="J563" s="66"/>
    </row>
    <row r="564" ht="12.75" customHeight="1">
      <c r="D564" s="66"/>
      <c r="E564" s="66"/>
      <c r="F564" s="66"/>
      <c r="G564" s="66"/>
      <c r="H564" s="66"/>
      <c r="I564" s="66"/>
      <c r="J564" s="66"/>
    </row>
    <row r="565" ht="12.75" customHeight="1">
      <c r="D565" s="66"/>
      <c r="E565" s="66"/>
      <c r="F565" s="66"/>
      <c r="G565" s="66"/>
      <c r="H565" s="66"/>
      <c r="I565" s="66"/>
      <c r="J565" s="66"/>
    </row>
    <row r="566" ht="12.75" customHeight="1">
      <c r="D566" s="66"/>
      <c r="E566" s="66"/>
      <c r="F566" s="66"/>
      <c r="G566" s="66"/>
      <c r="H566" s="66"/>
      <c r="I566" s="66"/>
      <c r="J566" s="66"/>
    </row>
    <row r="567" ht="12.75" customHeight="1">
      <c r="D567" s="66"/>
      <c r="E567" s="66"/>
      <c r="F567" s="66"/>
      <c r="G567" s="66"/>
      <c r="H567" s="66"/>
      <c r="I567" s="66"/>
      <c r="J567" s="66"/>
    </row>
    <row r="568" ht="12.75" customHeight="1">
      <c r="D568" s="66"/>
      <c r="E568" s="66"/>
      <c r="F568" s="66"/>
      <c r="G568" s="66"/>
      <c r="H568" s="66"/>
      <c r="I568" s="66"/>
      <c r="J568" s="66"/>
    </row>
    <row r="569" ht="12.75" customHeight="1">
      <c r="D569" s="66"/>
      <c r="E569" s="66"/>
      <c r="F569" s="66"/>
      <c r="G569" s="66"/>
      <c r="H569" s="66"/>
      <c r="I569" s="66"/>
      <c r="J569" s="66"/>
    </row>
    <row r="570" ht="12.75" customHeight="1">
      <c r="D570" s="66"/>
      <c r="E570" s="66"/>
      <c r="F570" s="66"/>
      <c r="G570" s="66"/>
      <c r="H570" s="66"/>
      <c r="I570" s="66"/>
      <c r="J570" s="66"/>
    </row>
    <row r="571" ht="12.75" customHeight="1">
      <c r="D571" s="66"/>
      <c r="E571" s="66"/>
      <c r="F571" s="66"/>
      <c r="G571" s="66"/>
      <c r="H571" s="66"/>
      <c r="I571" s="66"/>
      <c r="J571" s="66"/>
    </row>
    <row r="572" ht="12.75" customHeight="1">
      <c r="D572" s="66"/>
      <c r="E572" s="66"/>
      <c r="F572" s="66"/>
      <c r="G572" s="66"/>
      <c r="H572" s="66"/>
      <c r="I572" s="66"/>
      <c r="J572" s="66"/>
    </row>
    <row r="573" ht="12.75" customHeight="1">
      <c r="D573" s="66"/>
      <c r="E573" s="66"/>
      <c r="F573" s="66"/>
      <c r="G573" s="66"/>
      <c r="H573" s="66"/>
      <c r="I573" s="66"/>
      <c r="J573" s="66"/>
    </row>
    <row r="574" ht="12.75" customHeight="1">
      <c r="D574" s="66"/>
      <c r="E574" s="66"/>
      <c r="F574" s="66"/>
      <c r="G574" s="66"/>
      <c r="H574" s="66"/>
      <c r="I574" s="66"/>
      <c r="J574" s="66"/>
    </row>
    <row r="575" ht="12.75" customHeight="1">
      <c r="D575" s="66"/>
      <c r="E575" s="66"/>
      <c r="F575" s="66"/>
      <c r="G575" s="66"/>
      <c r="H575" s="66"/>
      <c r="I575" s="66"/>
      <c r="J575" s="66"/>
    </row>
    <row r="576" ht="12.75" customHeight="1">
      <c r="D576" s="66"/>
      <c r="E576" s="66"/>
      <c r="F576" s="66"/>
      <c r="G576" s="66"/>
      <c r="H576" s="66"/>
      <c r="I576" s="66"/>
      <c r="J576" s="66"/>
    </row>
    <row r="577" ht="12.75" customHeight="1">
      <c r="D577" s="66"/>
      <c r="E577" s="66"/>
      <c r="F577" s="66"/>
      <c r="G577" s="66"/>
      <c r="H577" s="66"/>
      <c r="I577" s="66"/>
      <c r="J577" s="66"/>
    </row>
    <row r="578" ht="12.75" customHeight="1">
      <c r="D578" s="66"/>
      <c r="E578" s="66"/>
      <c r="F578" s="66"/>
      <c r="G578" s="66"/>
      <c r="H578" s="66"/>
      <c r="I578" s="66"/>
      <c r="J578" s="66"/>
    </row>
    <row r="579" ht="12.75" customHeight="1">
      <c r="D579" s="66"/>
      <c r="E579" s="66"/>
      <c r="F579" s="66"/>
      <c r="G579" s="66"/>
      <c r="H579" s="66"/>
      <c r="I579" s="66"/>
      <c r="J579" s="66"/>
    </row>
    <row r="580" ht="12.75" customHeight="1">
      <c r="D580" s="66"/>
      <c r="E580" s="66"/>
      <c r="F580" s="66"/>
      <c r="G580" s="66"/>
      <c r="H580" s="66"/>
      <c r="I580" s="66"/>
      <c r="J580" s="66"/>
    </row>
    <row r="581" ht="12.75" customHeight="1">
      <c r="D581" s="66"/>
      <c r="E581" s="66"/>
      <c r="F581" s="66"/>
      <c r="G581" s="66"/>
      <c r="H581" s="66"/>
      <c r="I581" s="66"/>
      <c r="J581" s="66"/>
    </row>
    <row r="582" ht="12.75" customHeight="1">
      <c r="D582" s="66"/>
      <c r="E582" s="66"/>
      <c r="F582" s="66"/>
      <c r="G582" s="66"/>
      <c r="H582" s="66"/>
      <c r="I582" s="66"/>
      <c r="J582" s="66"/>
    </row>
    <row r="583" ht="12.75" customHeight="1">
      <c r="D583" s="66"/>
      <c r="E583" s="66"/>
      <c r="F583" s="66"/>
      <c r="G583" s="66"/>
      <c r="H583" s="66"/>
      <c r="I583" s="66"/>
      <c r="J583" s="66"/>
    </row>
    <row r="584" ht="12.75" customHeight="1">
      <c r="D584" s="66"/>
      <c r="E584" s="66"/>
      <c r="F584" s="66"/>
      <c r="G584" s="66"/>
      <c r="H584" s="66"/>
      <c r="I584" s="66"/>
      <c r="J584" s="66"/>
    </row>
    <row r="585" ht="12.75" customHeight="1">
      <c r="D585" s="66"/>
      <c r="E585" s="66"/>
      <c r="F585" s="66"/>
      <c r="G585" s="66"/>
      <c r="H585" s="66"/>
      <c r="I585" s="66"/>
      <c r="J585" s="66"/>
    </row>
    <row r="586" ht="12.75" customHeight="1">
      <c r="D586" s="66"/>
      <c r="E586" s="66"/>
      <c r="F586" s="66"/>
      <c r="G586" s="66"/>
      <c r="H586" s="66"/>
      <c r="I586" s="66"/>
      <c r="J586" s="66"/>
    </row>
    <row r="587" ht="12.75" customHeight="1">
      <c r="D587" s="66"/>
      <c r="E587" s="66"/>
      <c r="F587" s="66"/>
      <c r="G587" s="66"/>
      <c r="H587" s="66"/>
      <c r="I587" s="66"/>
      <c r="J587" s="66"/>
    </row>
    <row r="588" ht="12.75" customHeight="1">
      <c r="D588" s="66"/>
      <c r="E588" s="66"/>
      <c r="F588" s="66"/>
      <c r="G588" s="66"/>
      <c r="H588" s="66"/>
      <c r="I588" s="66"/>
      <c r="J588" s="66"/>
    </row>
    <row r="589" ht="12.75" customHeight="1">
      <c r="D589" s="66"/>
      <c r="E589" s="66"/>
      <c r="F589" s="66"/>
      <c r="G589" s="66"/>
      <c r="H589" s="66"/>
      <c r="I589" s="66"/>
      <c r="J589" s="66"/>
    </row>
    <row r="590" ht="12.75" customHeight="1">
      <c r="D590" s="66"/>
      <c r="E590" s="66"/>
      <c r="F590" s="66"/>
      <c r="G590" s="66"/>
      <c r="H590" s="66"/>
      <c r="I590" s="66"/>
      <c r="J590" s="66"/>
    </row>
    <row r="591" ht="12.75" customHeight="1">
      <c r="D591" s="66"/>
      <c r="E591" s="66"/>
      <c r="F591" s="66"/>
      <c r="G591" s="66"/>
      <c r="H591" s="66"/>
      <c r="I591" s="66"/>
      <c r="J591" s="66"/>
    </row>
    <row r="592" ht="12.75" customHeight="1">
      <c r="D592" s="66"/>
      <c r="E592" s="66"/>
      <c r="F592" s="66"/>
      <c r="G592" s="66"/>
      <c r="H592" s="66"/>
      <c r="I592" s="66"/>
      <c r="J592" s="66"/>
    </row>
    <row r="593" ht="12.75" customHeight="1">
      <c r="D593" s="66"/>
      <c r="E593" s="66"/>
      <c r="F593" s="66"/>
      <c r="G593" s="66"/>
      <c r="H593" s="66"/>
      <c r="I593" s="66"/>
      <c r="J593" s="66"/>
    </row>
    <row r="594" ht="12.75" customHeight="1">
      <c r="D594" s="66"/>
      <c r="E594" s="66"/>
      <c r="F594" s="66"/>
      <c r="G594" s="66"/>
      <c r="H594" s="66"/>
      <c r="I594" s="66"/>
      <c r="J594" s="66"/>
    </row>
    <row r="595" ht="12.75" customHeight="1">
      <c r="D595" s="66"/>
      <c r="E595" s="66"/>
      <c r="F595" s="66"/>
      <c r="G595" s="66"/>
      <c r="H595" s="66"/>
      <c r="I595" s="66"/>
      <c r="J595" s="66"/>
    </row>
    <row r="596" ht="12.75" customHeight="1">
      <c r="D596" s="66"/>
      <c r="E596" s="66"/>
      <c r="F596" s="66"/>
      <c r="G596" s="66"/>
      <c r="H596" s="66"/>
      <c r="I596" s="66"/>
      <c r="J596" s="66"/>
    </row>
    <row r="597" ht="12.75" customHeight="1">
      <c r="D597" s="66"/>
      <c r="E597" s="66"/>
      <c r="F597" s="66"/>
      <c r="G597" s="66"/>
      <c r="H597" s="66"/>
      <c r="I597" s="66"/>
      <c r="J597" s="66"/>
    </row>
    <row r="598" ht="12.75" customHeight="1">
      <c r="D598" s="66"/>
      <c r="E598" s="66"/>
      <c r="F598" s="66"/>
      <c r="G598" s="66"/>
      <c r="H598" s="66"/>
      <c r="I598" s="66"/>
      <c r="J598" s="66"/>
    </row>
    <row r="599" ht="12.75" customHeight="1">
      <c r="D599" s="66"/>
      <c r="E599" s="66"/>
      <c r="F599" s="66"/>
      <c r="G599" s="66"/>
      <c r="H599" s="66"/>
      <c r="I599" s="66"/>
      <c r="J599" s="66"/>
    </row>
    <row r="600" ht="12.75" customHeight="1">
      <c r="D600" s="66"/>
      <c r="E600" s="66"/>
      <c r="F600" s="66"/>
      <c r="G600" s="66"/>
      <c r="H600" s="66"/>
      <c r="I600" s="66"/>
      <c r="J600" s="66"/>
    </row>
    <row r="601" ht="12.75" customHeight="1">
      <c r="D601" s="66"/>
      <c r="E601" s="66"/>
      <c r="F601" s="66"/>
      <c r="G601" s="66"/>
      <c r="H601" s="66"/>
      <c r="I601" s="66"/>
      <c r="J601" s="66"/>
    </row>
    <row r="602" ht="12.75" customHeight="1">
      <c r="D602" s="66"/>
      <c r="E602" s="66"/>
      <c r="F602" s="66"/>
      <c r="G602" s="66"/>
      <c r="H602" s="66"/>
      <c r="I602" s="66"/>
      <c r="J602" s="66"/>
    </row>
    <row r="603" ht="12.75" customHeight="1">
      <c r="D603" s="66"/>
      <c r="E603" s="66"/>
      <c r="F603" s="66"/>
      <c r="G603" s="66"/>
      <c r="H603" s="66"/>
      <c r="I603" s="66"/>
      <c r="J603" s="66"/>
    </row>
    <row r="604" ht="12.75" customHeight="1">
      <c r="D604" s="66"/>
      <c r="E604" s="66"/>
      <c r="F604" s="66"/>
      <c r="G604" s="66"/>
      <c r="H604" s="66"/>
      <c r="I604" s="66"/>
      <c r="J604" s="66"/>
    </row>
    <row r="605" ht="12.75" customHeight="1">
      <c r="D605" s="66"/>
      <c r="E605" s="66"/>
      <c r="F605" s="66"/>
      <c r="G605" s="66"/>
      <c r="H605" s="66"/>
      <c r="I605" s="66"/>
      <c r="J605" s="66"/>
    </row>
    <row r="606" ht="12.75" customHeight="1">
      <c r="D606" s="66"/>
      <c r="E606" s="66"/>
      <c r="F606" s="66"/>
      <c r="G606" s="66"/>
      <c r="H606" s="66"/>
      <c r="I606" s="66"/>
      <c r="J606" s="66"/>
    </row>
    <row r="607" ht="12.75" customHeight="1">
      <c r="D607" s="66"/>
      <c r="E607" s="66"/>
      <c r="F607" s="66"/>
      <c r="G607" s="66"/>
      <c r="H607" s="66"/>
      <c r="I607" s="66"/>
      <c r="J607" s="66"/>
    </row>
    <row r="608" ht="12.75" customHeight="1">
      <c r="D608" s="66"/>
      <c r="E608" s="66"/>
      <c r="F608" s="66"/>
      <c r="G608" s="66"/>
      <c r="H608" s="66"/>
      <c r="I608" s="66"/>
      <c r="J608" s="66"/>
    </row>
    <row r="609" ht="12.75" customHeight="1">
      <c r="D609" s="66"/>
      <c r="E609" s="66"/>
      <c r="F609" s="66"/>
      <c r="G609" s="66"/>
      <c r="H609" s="66"/>
      <c r="I609" s="66"/>
      <c r="J609" s="66"/>
    </row>
    <row r="610" ht="12.75" customHeight="1">
      <c r="D610" s="66"/>
      <c r="E610" s="66"/>
      <c r="F610" s="66"/>
      <c r="G610" s="66"/>
      <c r="H610" s="66"/>
      <c r="I610" s="66"/>
      <c r="J610" s="66"/>
    </row>
    <row r="611" ht="12.75" customHeight="1">
      <c r="D611" s="66"/>
      <c r="E611" s="66"/>
      <c r="F611" s="66"/>
      <c r="G611" s="66"/>
      <c r="H611" s="66"/>
      <c r="I611" s="66"/>
      <c r="J611" s="66"/>
    </row>
    <row r="612" ht="12.75" customHeight="1">
      <c r="D612" s="66"/>
      <c r="E612" s="66"/>
      <c r="F612" s="66"/>
      <c r="G612" s="66"/>
      <c r="H612" s="66"/>
      <c r="I612" s="66"/>
      <c r="J612" s="66"/>
    </row>
    <row r="613" ht="12.75" customHeight="1">
      <c r="D613" s="66"/>
      <c r="E613" s="66"/>
      <c r="F613" s="66"/>
      <c r="G613" s="66"/>
      <c r="H613" s="66"/>
      <c r="I613" s="66"/>
      <c r="J613" s="66"/>
    </row>
    <row r="614" ht="12.75" customHeight="1">
      <c r="D614" s="66"/>
      <c r="E614" s="66"/>
      <c r="F614" s="66"/>
      <c r="G614" s="66"/>
      <c r="H614" s="66"/>
      <c r="I614" s="66"/>
      <c r="J614" s="66"/>
    </row>
    <row r="615" ht="12.75" customHeight="1">
      <c r="D615" s="66"/>
      <c r="E615" s="66"/>
      <c r="F615" s="66"/>
      <c r="G615" s="66"/>
      <c r="H615" s="66"/>
      <c r="I615" s="66"/>
      <c r="J615" s="66"/>
    </row>
    <row r="616" ht="12.75" customHeight="1">
      <c r="D616" s="66"/>
      <c r="E616" s="66"/>
      <c r="F616" s="66"/>
      <c r="G616" s="66"/>
      <c r="H616" s="66"/>
      <c r="I616" s="66"/>
      <c r="J616" s="66"/>
    </row>
    <row r="617" ht="12.75" customHeight="1">
      <c r="D617" s="66"/>
      <c r="E617" s="66"/>
      <c r="F617" s="66"/>
      <c r="G617" s="66"/>
      <c r="H617" s="66"/>
      <c r="I617" s="66"/>
      <c r="J617" s="66"/>
    </row>
    <row r="618" ht="12.75" customHeight="1">
      <c r="D618" s="66"/>
      <c r="E618" s="66"/>
      <c r="F618" s="66"/>
      <c r="G618" s="66"/>
      <c r="H618" s="66"/>
      <c r="I618" s="66"/>
      <c r="J618" s="66"/>
    </row>
    <row r="619" ht="12.75" customHeight="1">
      <c r="D619" s="66"/>
      <c r="E619" s="66"/>
      <c r="F619" s="66"/>
      <c r="G619" s="66"/>
      <c r="H619" s="66"/>
      <c r="I619" s="66"/>
      <c r="J619" s="66"/>
    </row>
    <row r="620" ht="12.75" customHeight="1">
      <c r="D620" s="66"/>
      <c r="E620" s="66"/>
      <c r="F620" s="66"/>
      <c r="G620" s="66"/>
      <c r="H620" s="66"/>
      <c r="I620" s="66"/>
      <c r="J620" s="66"/>
    </row>
    <row r="621" ht="12.75" customHeight="1">
      <c r="D621" s="66"/>
      <c r="E621" s="66"/>
      <c r="F621" s="66"/>
      <c r="G621" s="66"/>
      <c r="H621" s="66"/>
      <c r="I621" s="66"/>
      <c r="J621" s="66"/>
    </row>
    <row r="622" ht="12.75" customHeight="1">
      <c r="D622" s="66"/>
      <c r="E622" s="66"/>
      <c r="F622" s="66"/>
      <c r="G622" s="66"/>
      <c r="H622" s="66"/>
      <c r="I622" s="66"/>
      <c r="J622" s="66"/>
    </row>
    <row r="623" ht="12.75" customHeight="1">
      <c r="D623" s="66"/>
      <c r="E623" s="66"/>
      <c r="F623" s="66"/>
      <c r="G623" s="66"/>
      <c r="H623" s="66"/>
      <c r="I623" s="66"/>
      <c r="J623" s="66"/>
    </row>
    <row r="624" ht="12.75" customHeight="1">
      <c r="D624" s="66"/>
      <c r="E624" s="66"/>
      <c r="F624" s="66"/>
      <c r="G624" s="66"/>
      <c r="H624" s="66"/>
      <c r="I624" s="66"/>
      <c r="J624" s="66"/>
    </row>
    <row r="625" ht="12.75" customHeight="1">
      <c r="D625" s="66"/>
      <c r="E625" s="66"/>
      <c r="F625" s="66"/>
      <c r="G625" s="66"/>
      <c r="H625" s="66"/>
      <c r="I625" s="66"/>
      <c r="J625" s="66"/>
    </row>
    <row r="626" ht="12.75" customHeight="1">
      <c r="D626" s="66"/>
      <c r="E626" s="66"/>
      <c r="F626" s="66"/>
      <c r="G626" s="66"/>
      <c r="H626" s="66"/>
      <c r="I626" s="66"/>
      <c r="J626" s="66"/>
    </row>
    <row r="627" ht="12.75" customHeight="1">
      <c r="D627" s="66"/>
      <c r="E627" s="66"/>
      <c r="F627" s="66"/>
      <c r="G627" s="66"/>
      <c r="H627" s="66"/>
      <c r="I627" s="66"/>
      <c r="J627" s="66"/>
    </row>
    <row r="628" ht="12.75" customHeight="1">
      <c r="D628" s="66"/>
      <c r="E628" s="66"/>
      <c r="F628" s="66"/>
      <c r="G628" s="66"/>
      <c r="H628" s="66"/>
      <c r="I628" s="66"/>
      <c r="J628" s="66"/>
    </row>
    <row r="629" ht="12.75" customHeight="1">
      <c r="D629" s="66"/>
      <c r="E629" s="66"/>
      <c r="F629" s="66"/>
      <c r="G629" s="66"/>
      <c r="H629" s="66"/>
      <c r="I629" s="66"/>
      <c r="J629" s="66"/>
    </row>
    <row r="630" ht="12.75" customHeight="1">
      <c r="D630" s="66"/>
      <c r="E630" s="66"/>
      <c r="F630" s="66"/>
      <c r="G630" s="66"/>
      <c r="H630" s="66"/>
      <c r="I630" s="66"/>
      <c r="J630" s="66"/>
    </row>
    <row r="631" ht="12.75" customHeight="1">
      <c r="D631" s="66"/>
      <c r="E631" s="66"/>
      <c r="F631" s="66"/>
      <c r="G631" s="66"/>
      <c r="H631" s="66"/>
      <c r="I631" s="66"/>
      <c r="J631" s="66"/>
    </row>
    <row r="632" ht="12.75" customHeight="1">
      <c r="D632" s="66"/>
      <c r="E632" s="66"/>
      <c r="F632" s="66"/>
      <c r="G632" s="66"/>
      <c r="H632" s="66"/>
      <c r="I632" s="66"/>
      <c r="J632" s="66"/>
    </row>
    <row r="633" ht="12.75" customHeight="1">
      <c r="D633" s="66"/>
      <c r="E633" s="66"/>
      <c r="F633" s="66"/>
      <c r="G633" s="66"/>
      <c r="H633" s="66"/>
      <c r="I633" s="66"/>
      <c r="J633" s="66"/>
    </row>
    <row r="634" ht="12.75" customHeight="1">
      <c r="D634" s="66"/>
      <c r="E634" s="66"/>
      <c r="F634" s="66"/>
      <c r="G634" s="66"/>
      <c r="H634" s="66"/>
      <c r="I634" s="66"/>
      <c r="J634" s="66"/>
    </row>
    <row r="635" ht="12.75" customHeight="1">
      <c r="D635" s="66"/>
      <c r="E635" s="66"/>
      <c r="F635" s="66"/>
      <c r="G635" s="66"/>
      <c r="H635" s="66"/>
      <c r="I635" s="66"/>
      <c r="J635" s="66"/>
    </row>
    <row r="636" ht="12.75" customHeight="1">
      <c r="D636" s="66"/>
      <c r="E636" s="66"/>
      <c r="F636" s="66"/>
      <c r="G636" s="66"/>
      <c r="H636" s="66"/>
      <c r="I636" s="66"/>
      <c r="J636" s="66"/>
    </row>
    <row r="637" ht="12.75" customHeight="1">
      <c r="D637" s="66"/>
      <c r="E637" s="66"/>
      <c r="F637" s="66"/>
      <c r="G637" s="66"/>
      <c r="H637" s="66"/>
      <c r="I637" s="66"/>
      <c r="J637" s="66"/>
    </row>
    <row r="638" ht="12.75" customHeight="1">
      <c r="D638" s="66"/>
      <c r="E638" s="66"/>
      <c r="F638" s="66"/>
      <c r="G638" s="66"/>
      <c r="H638" s="66"/>
      <c r="I638" s="66"/>
      <c r="J638" s="66"/>
    </row>
    <row r="639" ht="12.75" customHeight="1">
      <c r="D639" s="66"/>
      <c r="E639" s="66"/>
      <c r="F639" s="66"/>
      <c r="G639" s="66"/>
      <c r="H639" s="66"/>
      <c r="I639" s="66"/>
      <c r="J639" s="66"/>
    </row>
    <row r="640" ht="12.75" customHeight="1">
      <c r="D640" s="66"/>
      <c r="E640" s="66"/>
      <c r="F640" s="66"/>
      <c r="G640" s="66"/>
      <c r="H640" s="66"/>
      <c r="I640" s="66"/>
      <c r="J640" s="66"/>
    </row>
    <row r="641" ht="12.75" customHeight="1">
      <c r="D641" s="66"/>
      <c r="E641" s="66"/>
      <c r="F641" s="66"/>
      <c r="G641" s="66"/>
      <c r="H641" s="66"/>
      <c r="I641" s="66"/>
      <c r="J641" s="66"/>
    </row>
    <row r="642" ht="12.75" customHeight="1">
      <c r="D642" s="66"/>
      <c r="E642" s="66"/>
      <c r="F642" s="66"/>
      <c r="G642" s="66"/>
      <c r="H642" s="66"/>
      <c r="I642" s="66"/>
      <c r="J642" s="66"/>
    </row>
    <row r="643" ht="12.75" customHeight="1">
      <c r="D643" s="66"/>
      <c r="E643" s="66"/>
      <c r="F643" s="66"/>
      <c r="G643" s="66"/>
      <c r="H643" s="66"/>
      <c r="I643" s="66"/>
      <c r="J643" s="66"/>
    </row>
    <row r="644" ht="12.75" customHeight="1">
      <c r="D644" s="66"/>
      <c r="E644" s="66"/>
      <c r="F644" s="66"/>
      <c r="G644" s="66"/>
      <c r="H644" s="66"/>
      <c r="I644" s="66"/>
      <c r="J644" s="66"/>
    </row>
    <row r="645" ht="12.75" customHeight="1">
      <c r="D645" s="66"/>
      <c r="E645" s="66"/>
      <c r="F645" s="66"/>
      <c r="G645" s="66"/>
      <c r="H645" s="66"/>
      <c r="I645" s="66"/>
      <c r="J645" s="66"/>
    </row>
    <row r="646" ht="12.75" customHeight="1">
      <c r="D646" s="66"/>
      <c r="E646" s="66"/>
      <c r="F646" s="66"/>
      <c r="G646" s="66"/>
      <c r="H646" s="66"/>
      <c r="I646" s="66"/>
      <c r="J646" s="66"/>
    </row>
    <row r="647" ht="12.75" customHeight="1">
      <c r="D647" s="66"/>
      <c r="E647" s="66"/>
      <c r="F647" s="66"/>
      <c r="G647" s="66"/>
      <c r="H647" s="66"/>
      <c r="I647" s="66"/>
      <c r="J647" s="66"/>
    </row>
    <row r="648" ht="12.75" customHeight="1">
      <c r="D648" s="66"/>
      <c r="E648" s="66"/>
      <c r="F648" s="66"/>
      <c r="G648" s="66"/>
      <c r="H648" s="66"/>
      <c r="I648" s="66"/>
      <c r="J648" s="66"/>
    </row>
    <row r="649" ht="12.75" customHeight="1">
      <c r="D649" s="66"/>
      <c r="E649" s="66"/>
      <c r="F649" s="66"/>
      <c r="G649" s="66"/>
      <c r="H649" s="66"/>
      <c r="I649" s="66"/>
      <c r="J649" s="66"/>
    </row>
    <row r="650" ht="12.75" customHeight="1">
      <c r="D650" s="66"/>
      <c r="E650" s="66"/>
      <c r="F650" s="66"/>
      <c r="G650" s="66"/>
      <c r="H650" s="66"/>
      <c r="I650" s="66"/>
      <c r="J650" s="66"/>
    </row>
    <row r="651" ht="12.75" customHeight="1">
      <c r="D651" s="66"/>
      <c r="E651" s="66"/>
      <c r="F651" s="66"/>
      <c r="G651" s="66"/>
      <c r="H651" s="66"/>
      <c r="I651" s="66"/>
      <c r="J651" s="66"/>
    </row>
    <row r="652" ht="12.75" customHeight="1">
      <c r="D652" s="66"/>
      <c r="E652" s="66"/>
      <c r="F652" s="66"/>
      <c r="G652" s="66"/>
      <c r="H652" s="66"/>
      <c r="I652" s="66"/>
      <c r="J652" s="66"/>
    </row>
    <row r="653" ht="12.75" customHeight="1">
      <c r="D653" s="66"/>
      <c r="E653" s="66"/>
      <c r="F653" s="66"/>
      <c r="G653" s="66"/>
      <c r="H653" s="66"/>
      <c r="I653" s="66"/>
      <c r="J653" s="66"/>
    </row>
    <row r="654" ht="12.75" customHeight="1">
      <c r="D654" s="66"/>
      <c r="E654" s="66"/>
      <c r="F654" s="66"/>
      <c r="G654" s="66"/>
      <c r="H654" s="66"/>
      <c r="I654" s="66"/>
      <c r="J654" s="66"/>
    </row>
    <row r="655" ht="12.75" customHeight="1">
      <c r="D655" s="66"/>
      <c r="E655" s="66"/>
      <c r="F655" s="66"/>
      <c r="G655" s="66"/>
      <c r="H655" s="66"/>
      <c r="I655" s="66"/>
      <c r="J655" s="66"/>
    </row>
    <row r="656" ht="12.75" customHeight="1">
      <c r="D656" s="66"/>
      <c r="E656" s="66"/>
      <c r="F656" s="66"/>
      <c r="G656" s="66"/>
      <c r="H656" s="66"/>
      <c r="I656" s="66"/>
      <c r="J656" s="66"/>
    </row>
    <row r="657" ht="12.75" customHeight="1">
      <c r="D657" s="66"/>
      <c r="E657" s="66"/>
      <c r="F657" s="66"/>
      <c r="G657" s="66"/>
      <c r="H657" s="66"/>
      <c r="I657" s="66"/>
      <c r="J657" s="66"/>
    </row>
    <row r="658" ht="12.75" customHeight="1">
      <c r="D658" s="66"/>
      <c r="E658" s="66"/>
      <c r="F658" s="66"/>
      <c r="G658" s="66"/>
      <c r="H658" s="66"/>
      <c r="I658" s="66"/>
      <c r="J658" s="66"/>
    </row>
    <row r="659" ht="12.75" customHeight="1">
      <c r="D659" s="66"/>
      <c r="E659" s="66"/>
      <c r="F659" s="66"/>
      <c r="G659" s="66"/>
      <c r="H659" s="66"/>
      <c r="I659" s="66"/>
      <c r="J659" s="66"/>
    </row>
    <row r="660" ht="12.75" customHeight="1">
      <c r="D660" s="66"/>
      <c r="E660" s="66"/>
      <c r="F660" s="66"/>
      <c r="G660" s="66"/>
      <c r="H660" s="66"/>
      <c r="I660" s="66"/>
      <c r="J660" s="66"/>
    </row>
    <row r="661" ht="12.75" customHeight="1">
      <c r="D661" s="66"/>
      <c r="E661" s="66"/>
      <c r="F661" s="66"/>
      <c r="G661" s="66"/>
      <c r="H661" s="66"/>
      <c r="I661" s="66"/>
      <c r="J661" s="66"/>
    </row>
    <row r="662" ht="12.75" customHeight="1">
      <c r="D662" s="66"/>
      <c r="E662" s="66"/>
      <c r="F662" s="66"/>
      <c r="G662" s="66"/>
      <c r="H662" s="66"/>
      <c r="I662" s="66"/>
      <c r="J662" s="66"/>
    </row>
    <row r="663" ht="12.75" customHeight="1">
      <c r="D663" s="66"/>
      <c r="E663" s="66"/>
      <c r="F663" s="66"/>
      <c r="G663" s="66"/>
      <c r="H663" s="66"/>
      <c r="I663" s="66"/>
      <c r="J663" s="66"/>
    </row>
    <row r="664" ht="12.75" customHeight="1">
      <c r="D664" s="66"/>
      <c r="E664" s="66"/>
      <c r="F664" s="66"/>
      <c r="G664" s="66"/>
      <c r="H664" s="66"/>
      <c r="I664" s="66"/>
      <c r="J664" s="66"/>
    </row>
    <row r="665" ht="12.75" customHeight="1">
      <c r="D665" s="66"/>
      <c r="E665" s="66"/>
      <c r="F665" s="66"/>
      <c r="G665" s="66"/>
      <c r="H665" s="66"/>
      <c r="I665" s="66"/>
      <c r="J665" s="66"/>
    </row>
    <row r="666" ht="12.75" customHeight="1">
      <c r="D666" s="66"/>
      <c r="E666" s="66"/>
      <c r="F666" s="66"/>
      <c r="G666" s="66"/>
      <c r="H666" s="66"/>
      <c r="I666" s="66"/>
      <c r="J666" s="66"/>
    </row>
    <row r="667" ht="12.75" customHeight="1">
      <c r="D667" s="66"/>
      <c r="E667" s="66"/>
      <c r="F667" s="66"/>
      <c r="G667" s="66"/>
      <c r="H667" s="66"/>
      <c r="I667" s="66"/>
      <c r="J667" s="66"/>
    </row>
    <row r="668" ht="12.75" customHeight="1">
      <c r="D668" s="66"/>
      <c r="E668" s="66"/>
      <c r="F668" s="66"/>
      <c r="G668" s="66"/>
      <c r="H668" s="66"/>
      <c r="I668" s="66"/>
      <c r="J668" s="66"/>
    </row>
    <row r="669" ht="12.75" customHeight="1">
      <c r="D669" s="66"/>
      <c r="E669" s="66"/>
      <c r="F669" s="66"/>
      <c r="G669" s="66"/>
      <c r="H669" s="66"/>
      <c r="I669" s="66"/>
      <c r="J669" s="66"/>
    </row>
    <row r="670" ht="12.75" customHeight="1">
      <c r="D670" s="66"/>
      <c r="E670" s="66"/>
      <c r="F670" s="66"/>
      <c r="G670" s="66"/>
      <c r="H670" s="66"/>
      <c r="I670" s="66"/>
      <c r="J670" s="66"/>
    </row>
    <row r="671" ht="12.75" customHeight="1">
      <c r="D671" s="66"/>
      <c r="E671" s="66"/>
      <c r="F671" s="66"/>
      <c r="G671" s="66"/>
      <c r="H671" s="66"/>
      <c r="I671" s="66"/>
      <c r="J671" s="66"/>
    </row>
    <row r="672" ht="12.75" customHeight="1">
      <c r="D672" s="66"/>
      <c r="E672" s="66"/>
      <c r="F672" s="66"/>
      <c r="G672" s="66"/>
      <c r="H672" s="66"/>
      <c r="I672" s="66"/>
      <c r="J672" s="66"/>
    </row>
    <row r="673" ht="12.75" customHeight="1">
      <c r="D673" s="66"/>
      <c r="E673" s="66"/>
      <c r="F673" s="66"/>
      <c r="G673" s="66"/>
      <c r="H673" s="66"/>
      <c r="I673" s="66"/>
      <c r="J673" s="66"/>
    </row>
    <row r="674" ht="12.75" customHeight="1">
      <c r="D674" s="66"/>
      <c r="E674" s="66"/>
      <c r="F674" s="66"/>
      <c r="G674" s="66"/>
      <c r="H674" s="66"/>
      <c r="I674" s="66"/>
      <c r="J674" s="66"/>
    </row>
    <row r="675" ht="12.75" customHeight="1">
      <c r="D675" s="66"/>
      <c r="E675" s="66"/>
      <c r="F675" s="66"/>
      <c r="G675" s="66"/>
      <c r="H675" s="66"/>
      <c r="I675" s="66"/>
      <c r="J675" s="66"/>
    </row>
    <row r="676" ht="12.75" customHeight="1">
      <c r="D676" s="66"/>
      <c r="E676" s="66"/>
      <c r="F676" s="66"/>
      <c r="G676" s="66"/>
      <c r="H676" s="66"/>
      <c r="I676" s="66"/>
      <c r="J676" s="66"/>
    </row>
    <row r="677" ht="12.75" customHeight="1">
      <c r="D677" s="66"/>
      <c r="E677" s="66"/>
      <c r="F677" s="66"/>
      <c r="G677" s="66"/>
      <c r="H677" s="66"/>
      <c r="I677" s="66"/>
      <c r="J677" s="66"/>
    </row>
    <row r="678" ht="12.75" customHeight="1">
      <c r="D678" s="66"/>
      <c r="E678" s="66"/>
      <c r="F678" s="66"/>
      <c r="G678" s="66"/>
      <c r="H678" s="66"/>
      <c r="I678" s="66"/>
      <c r="J678" s="66"/>
    </row>
    <row r="679" ht="12.75" customHeight="1">
      <c r="D679" s="66"/>
      <c r="E679" s="66"/>
      <c r="F679" s="66"/>
      <c r="G679" s="66"/>
      <c r="H679" s="66"/>
      <c r="I679" s="66"/>
      <c r="J679" s="66"/>
    </row>
    <row r="680" ht="12.75" customHeight="1">
      <c r="D680" s="66"/>
      <c r="E680" s="66"/>
      <c r="F680" s="66"/>
      <c r="G680" s="66"/>
      <c r="H680" s="66"/>
      <c r="I680" s="66"/>
      <c r="J680" s="66"/>
    </row>
    <row r="681" ht="12.75" customHeight="1">
      <c r="D681" s="66"/>
      <c r="E681" s="66"/>
      <c r="F681" s="66"/>
      <c r="G681" s="66"/>
      <c r="H681" s="66"/>
      <c r="I681" s="66"/>
      <c r="J681" s="66"/>
    </row>
    <row r="682" ht="12.75" customHeight="1">
      <c r="D682" s="66"/>
      <c r="E682" s="66"/>
      <c r="F682" s="66"/>
      <c r="G682" s="66"/>
      <c r="H682" s="66"/>
      <c r="I682" s="66"/>
      <c r="J682" s="66"/>
    </row>
    <row r="683" ht="12.75" customHeight="1">
      <c r="D683" s="66"/>
      <c r="E683" s="66"/>
      <c r="F683" s="66"/>
      <c r="G683" s="66"/>
      <c r="H683" s="66"/>
      <c r="I683" s="66"/>
      <c r="J683" s="66"/>
    </row>
    <row r="684" ht="12.75" customHeight="1">
      <c r="D684" s="66"/>
      <c r="E684" s="66"/>
      <c r="F684" s="66"/>
      <c r="G684" s="66"/>
      <c r="H684" s="66"/>
      <c r="I684" s="66"/>
      <c r="J684" s="66"/>
    </row>
    <row r="685" ht="12.75" customHeight="1">
      <c r="D685" s="66"/>
      <c r="E685" s="66"/>
      <c r="F685" s="66"/>
      <c r="G685" s="66"/>
      <c r="H685" s="66"/>
      <c r="I685" s="66"/>
      <c r="J685" s="66"/>
    </row>
    <row r="686" ht="12.75" customHeight="1">
      <c r="D686" s="66"/>
      <c r="E686" s="66"/>
      <c r="F686" s="66"/>
      <c r="G686" s="66"/>
      <c r="H686" s="66"/>
      <c r="I686" s="66"/>
      <c r="J686" s="66"/>
    </row>
    <row r="687" ht="12.75" customHeight="1">
      <c r="D687" s="66"/>
      <c r="E687" s="66"/>
      <c r="F687" s="66"/>
      <c r="G687" s="66"/>
      <c r="H687" s="66"/>
      <c r="I687" s="66"/>
      <c r="J687" s="66"/>
    </row>
    <row r="688" ht="12.75" customHeight="1">
      <c r="D688" s="66"/>
      <c r="E688" s="66"/>
      <c r="F688" s="66"/>
      <c r="G688" s="66"/>
      <c r="H688" s="66"/>
      <c r="I688" s="66"/>
      <c r="J688" s="66"/>
    </row>
    <row r="689" ht="12.75" customHeight="1">
      <c r="D689" s="66"/>
      <c r="E689" s="66"/>
      <c r="F689" s="66"/>
      <c r="G689" s="66"/>
      <c r="H689" s="66"/>
      <c r="I689" s="66"/>
      <c r="J689" s="66"/>
    </row>
    <row r="690" ht="12.75" customHeight="1">
      <c r="D690" s="66"/>
      <c r="E690" s="66"/>
      <c r="F690" s="66"/>
      <c r="G690" s="66"/>
      <c r="H690" s="66"/>
      <c r="I690" s="66"/>
      <c r="J690" s="66"/>
    </row>
    <row r="691" ht="12.75" customHeight="1">
      <c r="D691" s="66"/>
      <c r="E691" s="66"/>
      <c r="F691" s="66"/>
      <c r="G691" s="66"/>
      <c r="H691" s="66"/>
      <c r="I691" s="66"/>
      <c r="J691" s="66"/>
    </row>
    <row r="692" ht="12.75" customHeight="1">
      <c r="D692" s="66"/>
      <c r="E692" s="66"/>
      <c r="F692" s="66"/>
      <c r="G692" s="66"/>
      <c r="H692" s="66"/>
      <c r="I692" s="66"/>
      <c r="J692" s="66"/>
    </row>
    <row r="693" ht="12.75" customHeight="1">
      <c r="D693" s="66"/>
      <c r="E693" s="66"/>
      <c r="F693" s="66"/>
      <c r="G693" s="66"/>
      <c r="H693" s="66"/>
      <c r="I693" s="66"/>
      <c r="J693" s="66"/>
    </row>
    <row r="694" ht="12.75" customHeight="1">
      <c r="D694" s="66"/>
      <c r="E694" s="66"/>
      <c r="F694" s="66"/>
      <c r="G694" s="66"/>
      <c r="H694" s="66"/>
      <c r="I694" s="66"/>
      <c r="J694" s="66"/>
    </row>
    <row r="695" ht="12.75" customHeight="1">
      <c r="D695" s="66"/>
      <c r="E695" s="66"/>
      <c r="F695" s="66"/>
      <c r="G695" s="66"/>
      <c r="H695" s="66"/>
      <c r="I695" s="66"/>
      <c r="J695" s="66"/>
    </row>
    <row r="696" ht="12.75" customHeight="1">
      <c r="D696" s="66"/>
      <c r="E696" s="66"/>
      <c r="F696" s="66"/>
      <c r="G696" s="66"/>
      <c r="H696" s="66"/>
      <c r="I696" s="66"/>
      <c r="J696" s="66"/>
    </row>
    <row r="697" ht="12.75" customHeight="1">
      <c r="D697" s="66"/>
      <c r="E697" s="66"/>
      <c r="F697" s="66"/>
      <c r="G697" s="66"/>
      <c r="H697" s="66"/>
      <c r="I697" s="66"/>
      <c r="J697" s="66"/>
    </row>
    <row r="698" ht="12.75" customHeight="1">
      <c r="D698" s="66"/>
      <c r="E698" s="66"/>
      <c r="F698" s="66"/>
      <c r="G698" s="66"/>
      <c r="H698" s="66"/>
      <c r="I698" s="66"/>
      <c r="J698" s="66"/>
    </row>
    <row r="699" ht="12.75" customHeight="1">
      <c r="D699" s="66"/>
      <c r="E699" s="66"/>
      <c r="F699" s="66"/>
      <c r="G699" s="66"/>
      <c r="H699" s="66"/>
      <c r="I699" s="66"/>
      <c r="J699" s="66"/>
    </row>
    <row r="700" ht="12.75" customHeight="1">
      <c r="D700" s="66"/>
      <c r="E700" s="66"/>
      <c r="F700" s="66"/>
      <c r="G700" s="66"/>
      <c r="H700" s="66"/>
      <c r="I700" s="66"/>
      <c r="J700" s="66"/>
    </row>
    <row r="701" ht="12.75" customHeight="1">
      <c r="D701" s="66"/>
      <c r="E701" s="66"/>
      <c r="F701" s="66"/>
      <c r="G701" s="66"/>
      <c r="H701" s="66"/>
      <c r="I701" s="66"/>
      <c r="J701" s="66"/>
    </row>
    <row r="702" ht="12.75" customHeight="1">
      <c r="D702" s="66"/>
      <c r="E702" s="66"/>
      <c r="F702" s="66"/>
      <c r="G702" s="66"/>
      <c r="H702" s="66"/>
      <c r="I702" s="66"/>
      <c r="J702" s="66"/>
    </row>
    <row r="703" ht="12.75" customHeight="1">
      <c r="D703" s="66"/>
      <c r="E703" s="66"/>
      <c r="F703" s="66"/>
      <c r="G703" s="66"/>
      <c r="H703" s="66"/>
      <c r="I703" s="66"/>
      <c r="J703" s="66"/>
    </row>
    <row r="704" ht="12.75" customHeight="1">
      <c r="D704" s="66"/>
      <c r="E704" s="66"/>
      <c r="F704" s="66"/>
      <c r="G704" s="66"/>
      <c r="H704" s="66"/>
      <c r="I704" s="66"/>
      <c r="J704" s="66"/>
    </row>
    <row r="705" ht="12.75" customHeight="1">
      <c r="D705" s="66"/>
      <c r="E705" s="66"/>
      <c r="F705" s="66"/>
      <c r="G705" s="66"/>
      <c r="H705" s="66"/>
      <c r="I705" s="66"/>
      <c r="J705" s="66"/>
    </row>
    <row r="706" ht="12.75" customHeight="1">
      <c r="D706" s="66"/>
      <c r="E706" s="66"/>
      <c r="F706" s="66"/>
      <c r="G706" s="66"/>
      <c r="H706" s="66"/>
      <c r="I706" s="66"/>
      <c r="J706" s="66"/>
    </row>
    <row r="707" ht="12.75" customHeight="1">
      <c r="D707" s="66"/>
      <c r="E707" s="66"/>
      <c r="F707" s="66"/>
      <c r="G707" s="66"/>
      <c r="H707" s="66"/>
      <c r="I707" s="66"/>
      <c r="J707" s="66"/>
    </row>
    <row r="708" ht="12.75" customHeight="1">
      <c r="D708" s="66"/>
      <c r="E708" s="66"/>
      <c r="F708" s="66"/>
      <c r="G708" s="66"/>
      <c r="H708" s="66"/>
      <c r="I708" s="66"/>
      <c r="J708" s="66"/>
    </row>
    <row r="709" ht="12.75" customHeight="1">
      <c r="D709" s="66"/>
      <c r="E709" s="66"/>
      <c r="F709" s="66"/>
      <c r="G709" s="66"/>
      <c r="H709" s="66"/>
      <c r="I709" s="66"/>
      <c r="J709" s="66"/>
    </row>
    <row r="710" ht="12.75" customHeight="1">
      <c r="D710" s="66"/>
      <c r="E710" s="66"/>
      <c r="F710" s="66"/>
      <c r="G710" s="66"/>
      <c r="H710" s="66"/>
      <c r="I710" s="66"/>
      <c r="J710" s="66"/>
    </row>
    <row r="711" ht="12.75" customHeight="1">
      <c r="D711" s="66"/>
      <c r="E711" s="66"/>
      <c r="F711" s="66"/>
      <c r="G711" s="66"/>
      <c r="H711" s="66"/>
      <c r="I711" s="66"/>
      <c r="J711" s="66"/>
    </row>
    <row r="712" ht="12.75" customHeight="1">
      <c r="D712" s="66"/>
      <c r="E712" s="66"/>
      <c r="F712" s="66"/>
      <c r="G712" s="66"/>
      <c r="H712" s="66"/>
      <c r="I712" s="66"/>
      <c r="J712" s="66"/>
    </row>
    <row r="713" ht="12.75" customHeight="1">
      <c r="D713" s="66"/>
      <c r="E713" s="66"/>
      <c r="F713" s="66"/>
      <c r="G713" s="66"/>
      <c r="H713" s="66"/>
      <c r="I713" s="66"/>
      <c r="J713" s="66"/>
    </row>
    <row r="714" ht="12.75" customHeight="1">
      <c r="D714" s="66"/>
      <c r="E714" s="66"/>
      <c r="F714" s="66"/>
      <c r="G714" s="66"/>
      <c r="H714" s="66"/>
      <c r="I714" s="66"/>
      <c r="J714" s="66"/>
    </row>
    <row r="715" ht="12.75" customHeight="1">
      <c r="D715" s="66"/>
      <c r="E715" s="66"/>
      <c r="F715" s="66"/>
      <c r="G715" s="66"/>
      <c r="H715" s="66"/>
      <c r="I715" s="66"/>
      <c r="J715" s="66"/>
    </row>
    <row r="716" ht="12.75" customHeight="1">
      <c r="D716" s="66"/>
      <c r="E716" s="66"/>
      <c r="F716" s="66"/>
      <c r="G716" s="66"/>
      <c r="H716" s="66"/>
      <c r="I716" s="66"/>
      <c r="J716" s="66"/>
    </row>
    <row r="717" ht="12.75" customHeight="1">
      <c r="D717" s="66"/>
      <c r="E717" s="66"/>
      <c r="F717" s="66"/>
      <c r="G717" s="66"/>
      <c r="H717" s="66"/>
      <c r="I717" s="66"/>
      <c r="J717" s="66"/>
    </row>
    <row r="718" ht="12.75" customHeight="1">
      <c r="D718" s="66"/>
      <c r="E718" s="66"/>
      <c r="F718" s="66"/>
      <c r="G718" s="66"/>
      <c r="H718" s="66"/>
      <c r="I718" s="66"/>
      <c r="J718" s="66"/>
    </row>
    <row r="719" ht="12.75" customHeight="1">
      <c r="D719" s="66"/>
      <c r="E719" s="66"/>
      <c r="F719" s="66"/>
      <c r="G719" s="66"/>
      <c r="H719" s="66"/>
      <c r="I719" s="66"/>
      <c r="J719" s="66"/>
    </row>
    <row r="720" ht="12.75" customHeight="1">
      <c r="D720" s="66"/>
      <c r="E720" s="66"/>
      <c r="F720" s="66"/>
      <c r="G720" s="66"/>
      <c r="H720" s="66"/>
      <c r="I720" s="66"/>
      <c r="J720" s="66"/>
    </row>
    <row r="721" ht="12.75" customHeight="1">
      <c r="D721" s="66"/>
      <c r="E721" s="66"/>
      <c r="F721" s="66"/>
      <c r="G721" s="66"/>
      <c r="H721" s="66"/>
      <c r="I721" s="66"/>
      <c r="J721" s="66"/>
    </row>
    <row r="722" ht="12.75" customHeight="1">
      <c r="D722" s="66"/>
      <c r="E722" s="66"/>
      <c r="F722" s="66"/>
      <c r="G722" s="66"/>
      <c r="H722" s="66"/>
      <c r="I722" s="66"/>
      <c r="J722" s="66"/>
    </row>
    <row r="723" ht="12.75" customHeight="1">
      <c r="D723" s="66"/>
      <c r="E723" s="66"/>
      <c r="F723" s="66"/>
      <c r="G723" s="66"/>
      <c r="H723" s="66"/>
      <c r="I723" s="66"/>
      <c r="J723" s="66"/>
    </row>
    <row r="724" ht="12.75" customHeight="1">
      <c r="D724" s="66"/>
      <c r="E724" s="66"/>
      <c r="F724" s="66"/>
      <c r="G724" s="66"/>
      <c r="H724" s="66"/>
      <c r="I724" s="66"/>
      <c r="J724" s="66"/>
    </row>
    <row r="725" ht="12.75" customHeight="1">
      <c r="D725" s="66"/>
      <c r="E725" s="66"/>
      <c r="F725" s="66"/>
      <c r="G725" s="66"/>
      <c r="H725" s="66"/>
      <c r="I725" s="66"/>
      <c r="J725" s="66"/>
    </row>
    <row r="726" ht="12.75" customHeight="1">
      <c r="D726" s="66"/>
      <c r="E726" s="66"/>
      <c r="F726" s="66"/>
      <c r="G726" s="66"/>
      <c r="H726" s="66"/>
      <c r="I726" s="66"/>
      <c r="J726" s="66"/>
    </row>
    <row r="727" ht="12.75" customHeight="1">
      <c r="D727" s="66"/>
      <c r="E727" s="66"/>
      <c r="F727" s="66"/>
      <c r="G727" s="66"/>
      <c r="H727" s="66"/>
      <c r="I727" s="66"/>
      <c r="J727" s="66"/>
    </row>
    <row r="728" ht="12.75" customHeight="1">
      <c r="D728" s="66"/>
      <c r="E728" s="66"/>
      <c r="F728" s="66"/>
      <c r="G728" s="66"/>
      <c r="H728" s="66"/>
      <c r="I728" s="66"/>
      <c r="J728" s="66"/>
    </row>
    <row r="729" ht="12.75" customHeight="1">
      <c r="D729" s="66"/>
      <c r="E729" s="66"/>
      <c r="F729" s="66"/>
      <c r="G729" s="66"/>
      <c r="H729" s="66"/>
      <c r="I729" s="66"/>
      <c r="J729" s="66"/>
    </row>
    <row r="730" ht="12.75" customHeight="1">
      <c r="D730" s="66"/>
      <c r="E730" s="66"/>
      <c r="F730" s="66"/>
      <c r="G730" s="66"/>
      <c r="H730" s="66"/>
      <c r="I730" s="66"/>
      <c r="J730" s="66"/>
    </row>
    <row r="731" ht="12.75" customHeight="1">
      <c r="D731" s="66"/>
      <c r="E731" s="66"/>
      <c r="F731" s="66"/>
      <c r="G731" s="66"/>
      <c r="H731" s="66"/>
      <c r="I731" s="66"/>
      <c r="J731" s="66"/>
    </row>
    <row r="732" ht="12.75" customHeight="1">
      <c r="D732" s="66"/>
      <c r="E732" s="66"/>
      <c r="F732" s="66"/>
      <c r="G732" s="66"/>
      <c r="H732" s="66"/>
      <c r="I732" s="66"/>
      <c r="J732" s="66"/>
    </row>
    <row r="733" ht="12.75" customHeight="1">
      <c r="D733" s="66"/>
      <c r="E733" s="66"/>
      <c r="F733" s="66"/>
      <c r="G733" s="66"/>
      <c r="H733" s="66"/>
      <c r="I733" s="66"/>
      <c r="J733" s="66"/>
    </row>
    <row r="734" ht="12.75" customHeight="1">
      <c r="D734" s="66"/>
      <c r="E734" s="66"/>
      <c r="F734" s="66"/>
      <c r="G734" s="66"/>
      <c r="H734" s="66"/>
      <c r="I734" s="66"/>
      <c r="J734" s="66"/>
    </row>
    <row r="735" ht="12.75" customHeight="1">
      <c r="D735" s="66"/>
      <c r="E735" s="66"/>
      <c r="F735" s="66"/>
      <c r="G735" s="66"/>
      <c r="H735" s="66"/>
      <c r="I735" s="66"/>
      <c r="J735" s="66"/>
    </row>
    <row r="736" ht="12.75" customHeight="1">
      <c r="D736" s="66"/>
      <c r="E736" s="66"/>
      <c r="F736" s="66"/>
      <c r="G736" s="66"/>
      <c r="H736" s="66"/>
      <c r="I736" s="66"/>
      <c r="J736" s="66"/>
    </row>
    <row r="737" ht="12.75" customHeight="1">
      <c r="D737" s="66"/>
      <c r="E737" s="66"/>
      <c r="F737" s="66"/>
      <c r="G737" s="66"/>
      <c r="H737" s="66"/>
      <c r="I737" s="66"/>
      <c r="J737" s="66"/>
    </row>
    <row r="738" ht="12.75" customHeight="1">
      <c r="D738" s="66"/>
      <c r="E738" s="66"/>
      <c r="F738" s="66"/>
      <c r="G738" s="66"/>
      <c r="H738" s="66"/>
      <c r="I738" s="66"/>
      <c r="J738" s="66"/>
    </row>
    <row r="739" ht="12.75" customHeight="1">
      <c r="D739" s="66"/>
      <c r="E739" s="66"/>
      <c r="F739" s="66"/>
      <c r="G739" s="66"/>
      <c r="H739" s="66"/>
      <c r="I739" s="66"/>
      <c r="J739" s="66"/>
    </row>
    <row r="740" ht="12.75" customHeight="1">
      <c r="D740" s="66"/>
      <c r="E740" s="66"/>
      <c r="F740" s="66"/>
      <c r="G740" s="66"/>
      <c r="H740" s="66"/>
      <c r="I740" s="66"/>
      <c r="J740" s="66"/>
    </row>
    <row r="741" ht="12.75" customHeight="1">
      <c r="D741" s="66"/>
      <c r="E741" s="66"/>
      <c r="F741" s="66"/>
      <c r="G741" s="66"/>
      <c r="H741" s="66"/>
      <c r="I741" s="66"/>
      <c r="J741" s="66"/>
    </row>
    <row r="742" ht="12.75" customHeight="1">
      <c r="D742" s="66"/>
      <c r="E742" s="66"/>
      <c r="F742" s="66"/>
      <c r="G742" s="66"/>
      <c r="H742" s="66"/>
      <c r="I742" s="66"/>
      <c r="J742" s="66"/>
    </row>
    <row r="743" ht="12.75" customHeight="1">
      <c r="D743" s="66"/>
      <c r="E743" s="66"/>
      <c r="F743" s="66"/>
      <c r="G743" s="66"/>
      <c r="H743" s="66"/>
      <c r="I743" s="66"/>
      <c r="J743" s="66"/>
    </row>
    <row r="744" ht="12.75" customHeight="1">
      <c r="D744" s="66"/>
      <c r="E744" s="66"/>
      <c r="F744" s="66"/>
      <c r="G744" s="66"/>
      <c r="H744" s="66"/>
      <c r="I744" s="66"/>
      <c r="J744" s="66"/>
    </row>
    <row r="745" ht="12.75" customHeight="1">
      <c r="D745" s="66"/>
      <c r="E745" s="66"/>
      <c r="F745" s="66"/>
      <c r="G745" s="66"/>
      <c r="H745" s="66"/>
      <c r="I745" s="66"/>
      <c r="J745" s="66"/>
    </row>
    <row r="746" ht="12.75" customHeight="1">
      <c r="D746" s="66"/>
      <c r="E746" s="66"/>
      <c r="F746" s="66"/>
      <c r="G746" s="66"/>
      <c r="H746" s="66"/>
      <c r="I746" s="66"/>
      <c r="J746" s="66"/>
    </row>
    <row r="747" ht="12.75" customHeight="1">
      <c r="D747" s="66"/>
      <c r="E747" s="66"/>
      <c r="F747" s="66"/>
      <c r="G747" s="66"/>
      <c r="H747" s="66"/>
      <c r="I747" s="66"/>
      <c r="J747" s="66"/>
    </row>
    <row r="748" ht="12.75" customHeight="1">
      <c r="D748" s="66"/>
      <c r="E748" s="66"/>
      <c r="F748" s="66"/>
      <c r="G748" s="66"/>
      <c r="H748" s="66"/>
      <c r="I748" s="66"/>
      <c r="J748" s="66"/>
    </row>
    <row r="749" ht="12.75" customHeight="1">
      <c r="D749" s="66"/>
      <c r="E749" s="66"/>
      <c r="F749" s="66"/>
      <c r="G749" s="66"/>
      <c r="H749" s="66"/>
      <c r="I749" s="66"/>
      <c r="J749" s="66"/>
    </row>
    <row r="750" ht="12.75" customHeight="1">
      <c r="D750" s="66"/>
      <c r="E750" s="66"/>
      <c r="F750" s="66"/>
      <c r="G750" s="66"/>
      <c r="H750" s="66"/>
      <c r="I750" s="66"/>
      <c r="J750" s="66"/>
    </row>
    <row r="751" ht="12.75" customHeight="1">
      <c r="D751" s="66"/>
      <c r="E751" s="66"/>
      <c r="F751" s="66"/>
      <c r="G751" s="66"/>
      <c r="H751" s="66"/>
      <c r="I751" s="66"/>
      <c r="J751" s="66"/>
    </row>
    <row r="752" ht="12.75" customHeight="1">
      <c r="D752" s="66"/>
      <c r="E752" s="66"/>
      <c r="F752" s="66"/>
      <c r="G752" s="66"/>
      <c r="H752" s="66"/>
      <c r="I752" s="66"/>
      <c r="J752" s="66"/>
    </row>
    <row r="753" ht="12.75" customHeight="1">
      <c r="D753" s="66"/>
      <c r="E753" s="66"/>
      <c r="F753" s="66"/>
      <c r="G753" s="66"/>
      <c r="H753" s="66"/>
      <c r="I753" s="66"/>
      <c r="J753" s="66"/>
    </row>
    <row r="754" ht="12.75" customHeight="1">
      <c r="D754" s="66"/>
      <c r="E754" s="66"/>
      <c r="F754" s="66"/>
      <c r="G754" s="66"/>
      <c r="H754" s="66"/>
      <c r="I754" s="66"/>
      <c r="J754" s="66"/>
    </row>
    <row r="755" ht="12.75" customHeight="1">
      <c r="D755" s="66"/>
      <c r="E755" s="66"/>
      <c r="F755" s="66"/>
      <c r="G755" s="66"/>
      <c r="H755" s="66"/>
      <c r="I755" s="66"/>
      <c r="J755" s="66"/>
    </row>
    <row r="756" ht="12.75" customHeight="1">
      <c r="D756" s="66"/>
      <c r="E756" s="66"/>
      <c r="F756" s="66"/>
      <c r="G756" s="66"/>
      <c r="H756" s="66"/>
      <c r="I756" s="66"/>
      <c r="J756" s="66"/>
    </row>
    <row r="757" ht="12.75" customHeight="1">
      <c r="D757" s="66"/>
      <c r="E757" s="66"/>
      <c r="F757" s="66"/>
      <c r="G757" s="66"/>
      <c r="H757" s="66"/>
      <c r="I757" s="66"/>
      <c r="J757" s="66"/>
    </row>
    <row r="758" ht="12.75" customHeight="1">
      <c r="D758" s="66"/>
      <c r="E758" s="66"/>
      <c r="F758" s="66"/>
      <c r="G758" s="66"/>
      <c r="H758" s="66"/>
      <c r="I758" s="66"/>
      <c r="J758" s="66"/>
    </row>
    <row r="759" ht="12.75" customHeight="1">
      <c r="D759" s="66"/>
      <c r="E759" s="66"/>
      <c r="F759" s="66"/>
      <c r="G759" s="66"/>
      <c r="H759" s="66"/>
      <c r="I759" s="66"/>
      <c r="J759" s="66"/>
    </row>
    <row r="760" ht="12.75" customHeight="1">
      <c r="D760" s="66"/>
      <c r="E760" s="66"/>
      <c r="F760" s="66"/>
      <c r="G760" s="66"/>
      <c r="H760" s="66"/>
      <c r="I760" s="66"/>
      <c r="J760" s="66"/>
    </row>
    <row r="761" ht="12.75" customHeight="1">
      <c r="D761" s="66"/>
      <c r="E761" s="66"/>
      <c r="F761" s="66"/>
      <c r="G761" s="66"/>
      <c r="H761" s="66"/>
      <c r="I761" s="66"/>
      <c r="J761" s="66"/>
    </row>
    <row r="762" ht="12.75" customHeight="1">
      <c r="D762" s="66"/>
      <c r="E762" s="66"/>
      <c r="F762" s="66"/>
      <c r="G762" s="66"/>
      <c r="H762" s="66"/>
      <c r="I762" s="66"/>
      <c r="J762" s="66"/>
    </row>
    <row r="763" ht="12.75" customHeight="1">
      <c r="D763" s="66"/>
      <c r="E763" s="66"/>
      <c r="F763" s="66"/>
      <c r="G763" s="66"/>
      <c r="H763" s="66"/>
      <c r="I763" s="66"/>
      <c r="J763" s="66"/>
    </row>
    <row r="764" ht="12.75" customHeight="1">
      <c r="D764" s="66"/>
      <c r="E764" s="66"/>
      <c r="F764" s="66"/>
      <c r="G764" s="66"/>
      <c r="H764" s="66"/>
      <c r="I764" s="66"/>
      <c r="J764" s="66"/>
    </row>
    <row r="765" ht="12.75" customHeight="1">
      <c r="D765" s="66"/>
      <c r="E765" s="66"/>
      <c r="F765" s="66"/>
      <c r="G765" s="66"/>
      <c r="H765" s="66"/>
      <c r="I765" s="66"/>
      <c r="J765" s="66"/>
    </row>
    <row r="766" ht="12.75" customHeight="1">
      <c r="D766" s="66"/>
      <c r="E766" s="66"/>
      <c r="F766" s="66"/>
      <c r="G766" s="66"/>
      <c r="H766" s="66"/>
      <c r="I766" s="66"/>
      <c r="J766" s="66"/>
    </row>
    <row r="767" ht="12.75" customHeight="1">
      <c r="D767" s="66"/>
      <c r="E767" s="66"/>
      <c r="F767" s="66"/>
      <c r="G767" s="66"/>
      <c r="H767" s="66"/>
      <c r="I767" s="66"/>
      <c r="J767" s="66"/>
    </row>
    <row r="768" ht="12.75" customHeight="1">
      <c r="D768" s="66"/>
      <c r="E768" s="66"/>
      <c r="F768" s="66"/>
      <c r="G768" s="66"/>
      <c r="H768" s="66"/>
      <c r="I768" s="66"/>
      <c r="J768" s="66"/>
    </row>
    <row r="769" ht="12.75" customHeight="1">
      <c r="D769" s="66"/>
      <c r="E769" s="66"/>
      <c r="F769" s="66"/>
      <c r="G769" s="66"/>
      <c r="H769" s="66"/>
      <c r="I769" s="66"/>
      <c r="J769" s="66"/>
    </row>
    <row r="770" ht="12.75" customHeight="1">
      <c r="D770" s="66"/>
      <c r="E770" s="66"/>
      <c r="F770" s="66"/>
      <c r="G770" s="66"/>
      <c r="H770" s="66"/>
      <c r="I770" s="66"/>
      <c r="J770" s="66"/>
    </row>
    <row r="771" ht="12.75" customHeight="1">
      <c r="D771" s="66"/>
      <c r="E771" s="66"/>
      <c r="F771" s="66"/>
      <c r="G771" s="66"/>
      <c r="H771" s="66"/>
      <c r="I771" s="66"/>
      <c r="J771" s="66"/>
    </row>
    <row r="772" ht="12.75" customHeight="1">
      <c r="D772" s="66"/>
      <c r="E772" s="66"/>
      <c r="F772" s="66"/>
      <c r="G772" s="66"/>
      <c r="H772" s="66"/>
      <c r="I772" s="66"/>
      <c r="J772" s="66"/>
    </row>
    <row r="773" ht="12.75" customHeight="1">
      <c r="D773" s="66"/>
      <c r="E773" s="66"/>
      <c r="F773" s="66"/>
      <c r="G773" s="66"/>
      <c r="H773" s="66"/>
      <c r="I773" s="66"/>
      <c r="J773" s="66"/>
    </row>
    <row r="774" ht="12.75" customHeight="1">
      <c r="D774" s="66"/>
      <c r="E774" s="66"/>
      <c r="F774" s="66"/>
      <c r="G774" s="66"/>
      <c r="H774" s="66"/>
      <c r="I774" s="66"/>
      <c r="J774" s="66"/>
    </row>
    <row r="775" ht="12.75" customHeight="1">
      <c r="D775" s="66"/>
      <c r="E775" s="66"/>
      <c r="F775" s="66"/>
      <c r="G775" s="66"/>
      <c r="H775" s="66"/>
      <c r="I775" s="66"/>
      <c r="J775" s="66"/>
    </row>
    <row r="776" ht="12.75" customHeight="1">
      <c r="D776" s="66"/>
      <c r="E776" s="66"/>
      <c r="F776" s="66"/>
      <c r="G776" s="66"/>
      <c r="H776" s="66"/>
      <c r="I776" s="66"/>
      <c r="J776" s="66"/>
    </row>
    <row r="777" ht="12.75" customHeight="1">
      <c r="D777" s="66"/>
      <c r="E777" s="66"/>
      <c r="F777" s="66"/>
      <c r="G777" s="66"/>
      <c r="H777" s="66"/>
      <c r="I777" s="66"/>
      <c r="J777" s="66"/>
    </row>
    <row r="778" ht="12.75" customHeight="1">
      <c r="D778" s="66"/>
      <c r="E778" s="66"/>
      <c r="F778" s="66"/>
      <c r="G778" s="66"/>
      <c r="H778" s="66"/>
      <c r="I778" s="66"/>
      <c r="J778" s="66"/>
    </row>
    <row r="779" ht="12.75" customHeight="1">
      <c r="D779" s="66"/>
      <c r="E779" s="66"/>
      <c r="F779" s="66"/>
      <c r="G779" s="66"/>
      <c r="H779" s="66"/>
      <c r="I779" s="66"/>
      <c r="J779" s="66"/>
    </row>
    <row r="780" ht="12.75" customHeight="1">
      <c r="D780" s="66"/>
      <c r="E780" s="66"/>
      <c r="F780" s="66"/>
      <c r="G780" s="66"/>
      <c r="H780" s="66"/>
      <c r="I780" s="66"/>
      <c r="J780" s="66"/>
    </row>
    <row r="781" ht="12.75" customHeight="1">
      <c r="D781" s="66"/>
      <c r="E781" s="66"/>
      <c r="F781" s="66"/>
      <c r="G781" s="66"/>
      <c r="H781" s="66"/>
      <c r="I781" s="66"/>
      <c r="J781" s="66"/>
    </row>
    <row r="782" ht="12.75" customHeight="1">
      <c r="D782" s="66"/>
      <c r="E782" s="66"/>
      <c r="F782" s="66"/>
      <c r="G782" s="66"/>
      <c r="H782" s="66"/>
      <c r="I782" s="66"/>
      <c r="J782" s="66"/>
    </row>
    <row r="783" ht="12.75" customHeight="1">
      <c r="D783" s="66"/>
      <c r="E783" s="66"/>
      <c r="F783" s="66"/>
      <c r="G783" s="66"/>
      <c r="H783" s="66"/>
      <c r="I783" s="66"/>
      <c r="J783" s="66"/>
    </row>
    <row r="784" ht="12.75" customHeight="1">
      <c r="D784" s="66"/>
      <c r="E784" s="66"/>
      <c r="F784" s="66"/>
      <c r="G784" s="66"/>
      <c r="H784" s="66"/>
      <c r="I784" s="66"/>
      <c r="J784" s="66"/>
    </row>
    <row r="785" ht="12.75" customHeight="1">
      <c r="D785" s="66"/>
      <c r="E785" s="66"/>
      <c r="F785" s="66"/>
      <c r="G785" s="66"/>
      <c r="H785" s="66"/>
      <c r="I785" s="66"/>
      <c r="J785" s="66"/>
    </row>
    <row r="786" ht="12.75" customHeight="1">
      <c r="D786" s="66"/>
      <c r="E786" s="66"/>
      <c r="F786" s="66"/>
      <c r="G786" s="66"/>
      <c r="H786" s="66"/>
      <c r="I786" s="66"/>
      <c r="J786" s="66"/>
    </row>
    <row r="787" ht="12.75" customHeight="1">
      <c r="D787" s="66"/>
      <c r="E787" s="66"/>
      <c r="F787" s="66"/>
      <c r="G787" s="66"/>
      <c r="H787" s="66"/>
      <c r="I787" s="66"/>
      <c r="J787" s="66"/>
    </row>
    <row r="788" ht="12.75" customHeight="1">
      <c r="D788" s="66"/>
      <c r="E788" s="66"/>
      <c r="F788" s="66"/>
      <c r="G788" s="66"/>
      <c r="H788" s="66"/>
      <c r="I788" s="66"/>
      <c r="J788" s="66"/>
    </row>
    <row r="789" ht="12.75" customHeight="1">
      <c r="D789" s="66"/>
      <c r="E789" s="66"/>
      <c r="F789" s="66"/>
      <c r="G789" s="66"/>
      <c r="H789" s="66"/>
      <c r="I789" s="66"/>
      <c r="J789" s="66"/>
    </row>
    <row r="790" ht="12.75" customHeight="1">
      <c r="D790" s="66"/>
      <c r="E790" s="66"/>
      <c r="F790" s="66"/>
      <c r="G790" s="66"/>
      <c r="H790" s="66"/>
      <c r="I790" s="66"/>
      <c r="J790" s="66"/>
    </row>
    <row r="791" ht="12.75" customHeight="1">
      <c r="D791" s="66"/>
      <c r="E791" s="66"/>
      <c r="F791" s="66"/>
      <c r="G791" s="66"/>
      <c r="H791" s="66"/>
      <c r="I791" s="66"/>
      <c r="J791" s="66"/>
    </row>
    <row r="792" ht="12.75" customHeight="1">
      <c r="D792" s="66"/>
      <c r="E792" s="66"/>
      <c r="F792" s="66"/>
      <c r="G792" s="66"/>
      <c r="H792" s="66"/>
      <c r="I792" s="66"/>
      <c r="J792" s="66"/>
    </row>
    <row r="793" ht="12.75" customHeight="1">
      <c r="D793" s="66"/>
      <c r="E793" s="66"/>
      <c r="F793" s="66"/>
      <c r="G793" s="66"/>
      <c r="H793" s="66"/>
      <c r="I793" s="66"/>
      <c r="J793" s="66"/>
    </row>
    <row r="794" ht="12.75" customHeight="1">
      <c r="D794" s="66"/>
      <c r="E794" s="66"/>
      <c r="F794" s="66"/>
      <c r="G794" s="66"/>
      <c r="H794" s="66"/>
      <c r="I794" s="66"/>
      <c r="J794" s="66"/>
    </row>
    <row r="795" ht="12.75" customHeight="1">
      <c r="D795" s="66"/>
      <c r="E795" s="66"/>
      <c r="F795" s="66"/>
      <c r="G795" s="66"/>
      <c r="H795" s="66"/>
      <c r="I795" s="66"/>
      <c r="J795" s="66"/>
    </row>
    <row r="796" ht="12.75" customHeight="1">
      <c r="D796" s="66"/>
      <c r="E796" s="66"/>
      <c r="F796" s="66"/>
      <c r="G796" s="66"/>
      <c r="H796" s="66"/>
      <c r="I796" s="66"/>
      <c r="J796" s="66"/>
    </row>
    <row r="797" ht="12.75" customHeight="1">
      <c r="D797" s="66"/>
      <c r="E797" s="66"/>
      <c r="F797" s="66"/>
      <c r="G797" s="66"/>
      <c r="H797" s="66"/>
      <c r="I797" s="66"/>
      <c r="J797" s="66"/>
    </row>
    <row r="798" ht="12.75" customHeight="1">
      <c r="D798" s="66"/>
      <c r="E798" s="66"/>
      <c r="F798" s="66"/>
      <c r="G798" s="66"/>
      <c r="H798" s="66"/>
      <c r="I798" s="66"/>
      <c r="J798" s="66"/>
    </row>
    <row r="799" ht="12.75" customHeight="1">
      <c r="D799" s="66"/>
      <c r="E799" s="66"/>
      <c r="F799" s="66"/>
      <c r="G799" s="66"/>
      <c r="H799" s="66"/>
      <c r="I799" s="66"/>
      <c r="J799" s="66"/>
    </row>
    <row r="800" ht="12.75" customHeight="1">
      <c r="D800" s="66"/>
      <c r="E800" s="66"/>
      <c r="F800" s="66"/>
      <c r="G800" s="66"/>
      <c r="H800" s="66"/>
      <c r="I800" s="66"/>
      <c r="J800" s="66"/>
    </row>
    <row r="801" ht="12.75" customHeight="1">
      <c r="D801" s="66"/>
      <c r="E801" s="66"/>
      <c r="F801" s="66"/>
      <c r="G801" s="66"/>
      <c r="H801" s="66"/>
      <c r="I801" s="66"/>
      <c r="J801" s="66"/>
    </row>
    <row r="802" ht="12.75" customHeight="1">
      <c r="D802" s="66"/>
      <c r="E802" s="66"/>
      <c r="F802" s="66"/>
      <c r="G802" s="66"/>
      <c r="H802" s="66"/>
      <c r="I802" s="66"/>
      <c r="J802" s="66"/>
    </row>
    <row r="803" ht="12.75" customHeight="1">
      <c r="D803" s="66"/>
      <c r="E803" s="66"/>
      <c r="F803" s="66"/>
      <c r="G803" s="66"/>
      <c r="H803" s="66"/>
      <c r="I803" s="66"/>
      <c r="J803" s="66"/>
    </row>
    <row r="804" ht="12.75" customHeight="1">
      <c r="D804" s="66"/>
      <c r="E804" s="66"/>
      <c r="F804" s="66"/>
      <c r="G804" s="66"/>
      <c r="H804" s="66"/>
      <c r="I804" s="66"/>
      <c r="J804" s="66"/>
    </row>
    <row r="805" ht="12.75" customHeight="1">
      <c r="D805" s="66"/>
      <c r="E805" s="66"/>
      <c r="F805" s="66"/>
      <c r="G805" s="66"/>
      <c r="H805" s="66"/>
      <c r="I805" s="66"/>
      <c r="J805" s="66"/>
    </row>
    <row r="806" ht="12.75" customHeight="1">
      <c r="D806" s="66"/>
      <c r="E806" s="66"/>
      <c r="F806" s="66"/>
      <c r="G806" s="66"/>
      <c r="H806" s="66"/>
      <c r="I806" s="66"/>
      <c r="J806" s="66"/>
    </row>
    <row r="807" ht="12.75" customHeight="1">
      <c r="D807" s="66"/>
      <c r="E807" s="66"/>
      <c r="F807" s="66"/>
      <c r="G807" s="66"/>
      <c r="H807" s="66"/>
      <c r="I807" s="66"/>
      <c r="J807" s="66"/>
    </row>
    <row r="808" ht="12.75" customHeight="1">
      <c r="D808" s="66"/>
      <c r="E808" s="66"/>
      <c r="F808" s="66"/>
      <c r="G808" s="66"/>
      <c r="H808" s="66"/>
      <c r="I808" s="66"/>
      <c r="J808" s="66"/>
    </row>
    <row r="809" ht="12.75" customHeight="1">
      <c r="D809" s="66"/>
      <c r="E809" s="66"/>
      <c r="F809" s="66"/>
      <c r="G809" s="66"/>
      <c r="H809" s="66"/>
      <c r="I809" s="66"/>
      <c r="J809" s="66"/>
    </row>
    <row r="810" ht="12.75" customHeight="1">
      <c r="D810" s="66"/>
      <c r="E810" s="66"/>
      <c r="F810" s="66"/>
      <c r="G810" s="66"/>
      <c r="H810" s="66"/>
      <c r="I810" s="66"/>
      <c r="J810" s="66"/>
    </row>
    <row r="811" ht="12.75" customHeight="1">
      <c r="D811" s="66"/>
      <c r="E811" s="66"/>
      <c r="F811" s="66"/>
      <c r="G811" s="66"/>
      <c r="H811" s="66"/>
      <c r="I811" s="66"/>
      <c r="J811" s="66"/>
    </row>
    <row r="812" ht="12.75" customHeight="1">
      <c r="D812" s="66"/>
      <c r="E812" s="66"/>
      <c r="F812" s="66"/>
      <c r="G812" s="66"/>
      <c r="H812" s="66"/>
      <c r="I812" s="66"/>
      <c r="J812" s="66"/>
    </row>
    <row r="813" ht="12.75" customHeight="1">
      <c r="D813" s="66"/>
      <c r="E813" s="66"/>
      <c r="F813" s="66"/>
      <c r="G813" s="66"/>
      <c r="H813" s="66"/>
      <c r="I813" s="66"/>
      <c r="J813" s="66"/>
    </row>
    <row r="814" ht="12.75" customHeight="1">
      <c r="D814" s="66"/>
      <c r="E814" s="66"/>
      <c r="F814" s="66"/>
      <c r="G814" s="66"/>
      <c r="H814" s="66"/>
      <c r="I814" s="66"/>
      <c r="J814" s="66"/>
    </row>
    <row r="815" ht="12.75" customHeight="1">
      <c r="D815" s="66"/>
      <c r="E815" s="66"/>
      <c r="F815" s="66"/>
      <c r="G815" s="66"/>
      <c r="H815" s="66"/>
      <c r="I815" s="66"/>
      <c r="J815" s="66"/>
    </row>
    <row r="816" ht="12.75" customHeight="1">
      <c r="D816" s="66"/>
      <c r="E816" s="66"/>
      <c r="F816" s="66"/>
      <c r="G816" s="66"/>
      <c r="H816" s="66"/>
      <c r="I816" s="66"/>
      <c r="J816" s="66"/>
    </row>
    <row r="817" ht="12.75" customHeight="1">
      <c r="D817" s="66"/>
      <c r="E817" s="66"/>
      <c r="F817" s="66"/>
      <c r="G817" s="66"/>
      <c r="H817" s="66"/>
      <c r="I817" s="66"/>
      <c r="J817" s="66"/>
    </row>
    <row r="818" ht="12.75" customHeight="1">
      <c r="D818" s="66"/>
      <c r="E818" s="66"/>
      <c r="F818" s="66"/>
      <c r="G818" s="66"/>
      <c r="H818" s="66"/>
      <c r="I818" s="66"/>
      <c r="J818" s="66"/>
    </row>
    <row r="819" ht="12.75" customHeight="1">
      <c r="D819" s="66"/>
      <c r="E819" s="66"/>
      <c r="F819" s="66"/>
      <c r="G819" s="66"/>
      <c r="H819" s="66"/>
      <c r="I819" s="66"/>
      <c r="J819" s="66"/>
    </row>
    <row r="820" ht="12.75" customHeight="1">
      <c r="D820" s="66"/>
      <c r="E820" s="66"/>
      <c r="F820" s="66"/>
      <c r="G820" s="66"/>
      <c r="H820" s="66"/>
      <c r="I820" s="66"/>
      <c r="J820" s="66"/>
    </row>
    <row r="821" ht="12.75" customHeight="1">
      <c r="D821" s="66"/>
      <c r="E821" s="66"/>
      <c r="F821" s="66"/>
      <c r="G821" s="66"/>
      <c r="H821" s="66"/>
      <c r="I821" s="66"/>
      <c r="J821" s="66"/>
    </row>
    <row r="822" ht="12.75" customHeight="1">
      <c r="D822" s="66"/>
      <c r="E822" s="66"/>
      <c r="F822" s="66"/>
      <c r="G822" s="66"/>
      <c r="H822" s="66"/>
      <c r="I822" s="66"/>
      <c r="J822" s="66"/>
    </row>
    <row r="823" ht="12.75" customHeight="1">
      <c r="D823" s="66"/>
      <c r="E823" s="66"/>
      <c r="F823" s="66"/>
      <c r="G823" s="66"/>
      <c r="H823" s="66"/>
      <c r="I823" s="66"/>
      <c r="J823" s="66"/>
    </row>
    <row r="824" ht="12.75" customHeight="1">
      <c r="D824" s="66"/>
      <c r="E824" s="66"/>
      <c r="F824" s="66"/>
      <c r="G824" s="66"/>
      <c r="H824" s="66"/>
      <c r="I824" s="66"/>
      <c r="J824" s="66"/>
    </row>
    <row r="825" ht="12.75" customHeight="1">
      <c r="D825" s="66"/>
      <c r="E825" s="66"/>
      <c r="F825" s="66"/>
      <c r="G825" s="66"/>
      <c r="H825" s="66"/>
      <c r="I825" s="66"/>
      <c r="J825" s="66"/>
    </row>
    <row r="826" ht="12.75" customHeight="1">
      <c r="D826" s="66"/>
      <c r="E826" s="66"/>
      <c r="F826" s="66"/>
      <c r="G826" s="66"/>
      <c r="H826" s="66"/>
      <c r="I826" s="66"/>
      <c r="J826" s="66"/>
    </row>
    <row r="827" ht="12.75" customHeight="1">
      <c r="D827" s="66"/>
      <c r="E827" s="66"/>
      <c r="F827" s="66"/>
      <c r="G827" s="66"/>
      <c r="H827" s="66"/>
      <c r="I827" s="66"/>
      <c r="J827" s="66"/>
    </row>
    <row r="828" ht="12.75" customHeight="1">
      <c r="D828" s="66"/>
      <c r="E828" s="66"/>
      <c r="F828" s="66"/>
      <c r="G828" s="66"/>
      <c r="H828" s="66"/>
      <c r="I828" s="66"/>
      <c r="J828" s="66"/>
    </row>
    <row r="829" ht="12.75" customHeight="1">
      <c r="D829" s="66"/>
      <c r="E829" s="66"/>
      <c r="F829" s="66"/>
      <c r="G829" s="66"/>
      <c r="H829" s="66"/>
      <c r="I829" s="66"/>
      <c r="J829" s="66"/>
    </row>
    <row r="830" ht="12.75" customHeight="1">
      <c r="D830" s="66"/>
      <c r="E830" s="66"/>
      <c r="F830" s="66"/>
      <c r="G830" s="66"/>
      <c r="H830" s="66"/>
      <c r="I830" s="66"/>
      <c r="J830" s="66"/>
    </row>
    <row r="831" ht="12.75" customHeight="1">
      <c r="D831" s="66"/>
      <c r="E831" s="66"/>
      <c r="F831" s="66"/>
      <c r="G831" s="66"/>
      <c r="H831" s="66"/>
      <c r="I831" s="66"/>
      <c r="J831" s="66"/>
    </row>
    <row r="832" ht="12.75" customHeight="1">
      <c r="D832" s="66"/>
      <c r="E832" s="66"/>
      <c r="F832" s="66"/>
      <c r="G832" s="66"/>
      <c r="H832" s="66"/>
      <c r="I832" s="66"/>
      <c r="J832" s="66"/>
    </row>
    <row r="833" ht="12.75" customHeight="1">
      <c r="D833" s="66"/>
      <c r="E833" s="66"/>
      <c r="F833" s="66"/>
      <c r="G833" s="66"/>
      <c r="H833" s="66"/>
      <c r="I833" s="66"/>
      <c r="J833" s="66"/>
    </row>
    <row r="834" ht="12.75" customHeight="1">
      <c r="D834" s="66"/>
      <c r="E834" s="66"/>
      <c r="F834" s="66"/>
      <c r="G834" s="66"/>
      <c r="H834" s="66"/>
      <c r="I834" s="66"/>
      <c r="J834" s="66"/>
    </row>
    <row r="835" ht="12.75" customHeight="1">
      <c r="D835" s="66"/>
      <c r="E835" s="66"/>
      <c r="F835" s="66"/>
      <c r="G835" s="66"/>
      <c r="H835" s="66"/>
      <c r="I835" s="66"/>
      <c r="J835" s="66"/>
    </row>
    <row r="836" ht="12.75" customHeight="1">
      <c r="D836" s="66"/>
      <c r="E836" s="66"/>
      <c r="F836" s="66"/>
      <c r="G836" s="66"/>
      <c r="H836" s="66"/>
      <c r="I836" s="66"/>
      <c r="J836" s="66"/>
    </row>
    <row r="837" ht="12.75" customHeight="1">
      <c r="D837" s="66"/>
      <c r="E837" s="66"/>
      <c r="F837" s="66"/>
      <c r="G837" s="66"/>
      <c r="H837" s="66"/>
      <c r="I837" s="66"/>
      <c r="J837" s="66"/>
    </row>
    <row r="838" ht="12.75" customHeight="1">
      <c r="D838" s="66"/>
      <c r="E838" s="66"/>
      <c r="F838" s="66"/>
      <c r="G838" s="66"/>
      <c r="H838" s="66"/>
      <c r="I838" s="66"/>
      <c r="J838" s="66"/>
    </row>
    <row r="839" ht="12.75" customHeight="1">
      <c r="D839" s="66"/>
      <c r="E839" s="66"/>
      <c r="F839" s="66"/>
      <c r="G839" s="66"/>
      <c r="H839" s="66"/>
      <c r="I839" s="66"/>
      <c r="J839" s="66"/>
    </row>
    <row r="840" ht="12.75" customHeight="1">
      <c r="D840" s="66"/>
      <c r="E840" s="66"/>
      <c r="F840" s="66"/>
      <c r="G840" s="66"/>
      <c r="H840" s="66"/>
      <c r="I840" s="66"/>
      <c r="J840" s="66"/>
    </row>
    <row r="841" ht="12.75" customHeight="1">
      <c r="D841" s="66"/>
      <c r="E841" s="66"/>
      <c r="F841" s="66"/>
      <c r="G841" s="66"/>
      <c r="H841" s="66"/>
      <c r="I841" s="66"/>
      <c r="J841" s="66"/>
    </row>
    <row r="842" ht="12.75" customHeight="1">
      <c r="D842" s="66"/>
      <c r="E842" s="66"/>
      <c r="F842" s="66"/>
      <c r="G842" s="66"/>
      <c r="H842" s="66"/>
      <c r="I842" s="66"/>
      <c r="J842" s="66"/>
    </row>
    <row r="843" ht="12.75" customHeight="1">
      <c r="D843" s="66"/>
      <c r="E843" s="66"/>
      <c r="F843" s="66"/>
      <c r="G843" s="66"/>
      <c r="H843" s="66"/>
      <c r="I843" s="66"/>
      <c r="J843" s="66"/>
    </row>
    <row r="844" ht="12.75" customHeight="1">
      <c r="D844" s="66"/>
      <c r="E844" s="66"/>
      <c r="F844" s="66"/>
      <c r="G844" s="66"/>
      <c r="H844" s="66"/>
      <c r="I844" s="66"/>
      <c r="J844" s="66"/>
    </row>
    <row r="845" ht="12.75" customHeight="1">
      <c r="D845" s="66"/>
      <c r="E845" s="66"/>
      <c r="F845" s="66"/>
      <c r="G845" s="66"/>
      <c r="H845" s="66"/>
      <c r="I845" s="66"/>
      <c r="J845" s="66"/>
    </row>
    <row r="846" ht="12.75" customHeight="1">
      <c r="D846" s="66"/>
      <c r="E846" s="66"/>
      <c r="F846" s="66"/>
      <c r="G846" s="66"/>
      <c r="H846" s="66"/>
      <c r="I846" s="66"/>
      <c r="J846" s="66"/>
    </row>
    <row r="847" ht="12.75" customHeight="1">
      <c r="D847" s="66"/>
      <c r="E847" s="66"/>
      <c r="F847" s="66"/>
      <c r="G847" s="66"/>
      <c r="H847" s="66"/>
      <c r="I847" s="66"/>
      <c r="J847" s="66"/>
    </row>
    <row r="848" ht="12.75" customHeight="1">
      <c r="D848" s="66"/>
      <c r="E848" s="66"/>
      <c r="F848" s="66"/>
      <c r="G848" s="66"/>
      <c r="H848" s="66"/>
      <c r="I848" s="66"/>
      <c r="J848" s="66"/>
    </row>
    <row r="849" ht="12.75" customHeight="1">
      <c r="D849" s="66"/>
      <c r="E849" s="66"/>
      <c r="F849" s="66"/>
      <c r="G849" s="66"/>
      <c r="H849" s="66"/>
      <c r="I849" s="66"/>
      <c r="J849" s="66"/>
    </row>
    <row r="850" ht="12.75" customHeight="1">
      <c r="D850" s="66"/>
      <c r="E850" s="66"/>
      <c r="F850" s="66"/>
      <c r="G850" s="66"/>
      <c r="H850" s="66"/>
      <c r="I850" s="66"/>
      <c r="J850" s="66"/>
    </row>
    <row r="851" ht="12.75" customHeight="1">
      <c r="D851" s="66"/>
      <c r="E851" s="66"/>
      <c r="F851" s="66"/>
      <c r="G851" s="66"/>
      <c r="H851" s="66"/>
      <c r="I851" s="66"/>
      <c r="J851" s="66"/>
    </row>
    <row r="852" ht="12.75" customHeight="1">
      <c r="D852" s="66"/>
      <c r="E852" s="66"/>
      <c r="F852" s="66"/>
      <c r="G852" s="66"/>
      <c r="H852" s="66"/>
      <c r="I852" s="66"/>
      <c r="J852" s="66"/>
    </row>
    <row r="853" ht="12.75" customHeight="1">
      <c r="D853" s="66"/>
      <c r="E853" s="66"/>
      <c r="F853" s="66"/>
      <c r="G853" s="66"/>
      <c r="H853" s="66"/>
      <c r="I853" s="66"/>
      <c r="J853" s="66"/>
    </row>
    <row r="854" ht="12.75" customHeight="1">
      <c r="D854" s="66"/>
      <c r="E854" s="66"/>
      <c r="F854" s="66"/>
      <c r="G854" s="66"/>
      <c r="H854" s="66"/>
      <c r="I854" s="66"/>
      <c r="J854" s="66"/>
    </row>
    <row r="855" ht="12.75" customHeight="1">
      <c r="D855" s="66"/>
      <c r="E855" s="66"/>
      <c r="F855" s="66"/>
      <c r="G855" s="66"/>
      <c r="H855" s="66"/>
      <c r="I855" s="66"/>
      <c r="J855" s="66"/>
    </row>
    <row r="856" ht="12.75" customHeight="1">
      <c r="D856" s="66"/>
      <c r="E856" s="66"/>
      <c r="F856" s="66"/>
      <c r="G856" s="66"/>
      <c r="H856" s="66"/>
      <c r="I856" s="66"/>
      <c r="J856" s="66"/>
    </row>
    <row r="857" ht="12.75" customHeight="1">
      <c r="D857" s="66"/>
      <c r="E857" s="66"/>
      <c r="F857" s="66"/>
      <c r="G857" s="66"/>
      <c r="H857" s="66"/>
      <c r="I857" s="66"/>
      <c r="J857" s="66"/>
    </row>
    <row r="858" ht="12.75" customHeight="1">
      <c r="D858" s="66"/>
      <c r="E858" s="66"/>
      <c r="F858" s="66"/>
      <c r="G858" s="66"/>
      <c r="H858" s="66"/>
      <c r="I858" s="66"/>
      <c r="J858" s="66"/>
    </row>
    <row r="859" ht="12.75" customHeight="1">
      <c r="D859" s="66"/>
      <c r="E859" s="66"/>
      <c r="F859" s="66"/>
      <c r="G859" s="66"/>
      <c r="H859" s="66"/>
      <c r="I859" s="66"/>
      <c r="J859" s="66"/>
    </row>
    <row r="860" ht="12.75" customHeight="1">
      <c r="D860" s="66"/>
      <c r="E860" s="66"/>
      <c r="F860" s="66"/>
      <c r="G860" s="66"/>
      <c r="H860" s="66"/>
      <c r="I860" s="66"/>
      <c r="J860" s="66"/>
    </row>
    <row r="861" ht="12.75" customHeight="1">
      <c r="D861" s="66"/>
      <c r="E861" s="66"/>
      <c r="F861" s="66"/>
      <c r="G861" s="66"/>
      <c r="H861" s="66"/>
      <c r="I861" s="66"/>
      <c r="J861" s="66"/>
    </row>
    <row r="862" ht="12.75" customHeight="1">
      <c r="D862" s="66"/>
      <c r="E862" s="66"/>
      <c r="F862" s="66"/>
      <c r="G862" s="66"/>
      <c r="H862" s="66"/>
      <c r="I862" s="66"/>
      <c r="J862" s="66"/>
    </row>
    <row r="863" ht="12.75" customHeight="1">
      <c r="D863" s="66"/>
      <c r="E863" s="66"/>
      <c r="F863" s="66"/>
      <c r="G863" s="66"/>
      <c r="H863" s="66"/>
      <c r="I863" s="66"/>
      <c r="J863" s="66"/>
    </row>
    <row r="864" ht="12.75" customHeight="1">
      <c r="D864" s="66"/>
      <c r="E864" s="66"/>
      <c r="F864" s="66"/>
      <c r="G864" s="66"/>
      <c r="H864" s="66"/>
      <c r="I864" s="66"/>
      <c r="J864" s="66"/>
    </row>
    <row r="865" ht="12.75" customHeight="1">
      <c r="D865" s="66"/>
      <c r="E865" s="66"/>
      <c r="F865" s="66"/>
      <c r="G865" s="66"/>
      <c r="H865" s="66"/>
      <c r="I865" s="66"/>
      <c r="J865" s="66"/>
    </row>
    <row r="866" ht="12.75" customHeight="1">
      <c r="D866" s="66"/>
      <c r="E866" s="66"/>
      <c r="F866" s="66"/>
      <c r="G866" s="66"/>
      <c r="H866" s="66"/>
      <c r="I866" s="66"/>
      <c r="J866" s="66"/>
    </row>
    <row r="867" ht="12.75" customHeight="1">
      <c r="D867" s="66"/>
      <c r="E867" s="66"/>
      <c r="F867" s="66"/>
      <c r="G867" s="66"/>
      <c r="H867" s="66"/>
      <c r="I867" s="66"/>
      <c r="J867" s="66"/>
    </row>
    <row r="868" ht="12.75" customHeight="1">
      <c r="D868" s="66"/>
      <c r="E868" s="66"/>
      <c r="F868" s="66"/>
      <c r="G868" s="66"/>
      <c r="H868" s="66"/>
      <c r="I868" s="66"/>
      <c r="J868" s="66"/>
    </row>
    <row r="869" ht="12.75" customHeight="1">
      <c r="D869" s="66"/>
      <c r="E869" s="66"/>
      <c r="F869" s="66"/>
      <c r="G869" s="66"/>
      <c r="H869" s="66"/>
      <c r="I869" s="66"/>
      <c r="J869" s="66"/>
    </row>
    <row r="870" ht="12.75" customHeight="1">
      <c r="D870" s="66"/>
      <c r="E870" s="66"/>
      <c r="F870" s="66"/>
      <c r="G870" s="66"/>
      <c r="H870" s="66"/>
      <c r="I870" s="66"/>
      <c r="J870" s="66"/>
    </row>
    <row r="871" ht="12.75" customHeight="1">
      <c r="D871" s="66"/>
      <c r="E871" s="66"/>
      <c r="F871" s="66"/>
      <c r="G871" s="66"/>
      <c r="H871" s="66"/>
      <c r="I871" s="66"/>
      <c r="J871" s="66"/>
    </row>
    <row r="872" ht="12.75" customHeight="1">
      <c r="D872" s="66"/>
      <c r="E872" s="66"/>
      <c r="F872" s="66"/>
      <c r="G872" s="66"/>
      <c r="H872" s="66"/>
      <c r="I872" s="66"/>
      <c r="J872" s="66"/>
    </row>
    <row r="873" ht="12.75" customHeight="1">
      <c r="D873" s="66"/>
      <c r="E873" s="66"/>
      <c r="F873" s="66"/>
      <c r="G873" s="66"/>
      <c r="H873" s="66"/>
      <c r="I873" s="66"/>
      <c r="J873" s="66"/>
    </row>
    <row r="874" ht="12.75" customHeight="1">
      <c r="D874" s="66"/>
      <c r="E874" s="66"/>
      <c r="F874" s="66"/>
      <c r="G874" s="66"/>
      <c r="H874" s="66"/>
      <c r="I874" s="66"/>
      <c r="J874" s="66"/>
    </row>
    <row r="875" ht="12.75" customHeight="1">
      <c r="D875" s="66"/>
      <c r="E875" s="66"/>
      <c r="F875" s="66"/>
      <c r="G875" s="66"/>
      <c r="H875" s="66"/>
      <c r="I875" s="66"/>
      <c r="J875" s="66"/>
    </row>
    <row r="876" ht="12.75" customHeight="1">
      <c r="D876" s="66"/>
      <c r="E876" s="66"/>
      <c r="F876" s="66"/>
      <c r="G876" s="66"/>
      <c r="H876" s="66"/>
      <c r="I876" s="66"/>
      <c r="J876" s="66"/>
    </row>
    <row r="877" ht="12.75" customHeight="1">
      <c r="D877" s="66"/>
      <c r="E877" s="66"/>
      <c r="F877" s="66"/>
      <c r="G877" s="66"/>
      <c r="H877" s="66"/>
      <c r="I877" s="66"/>
      <c r="J877" s="66"/>
    </row>
    <row r="878" ht="12.75" customHeight="1">
      <c r="D878" s="66"/>
      <c r="E878" s="66"/>
      <c r="F878" s="66"/>
      <c r="G878" s="66"/>
      <c r="H878" s="66"/>
      <c r="I878" s="66"/>
      <c r="J878" s="66"/>
    </row>
    <row r="879" ht="12.75" customHeight="1">
      <c r="D879" s="66"/>
      <c r="E879" s="66"/>
      <c r="F879" s="66"/>
      <c r="G879" s="66"/>
      <c r="H879" s="66"/>
      <c r="I879" s="66"/>
      <c r="J879" s="66"/>
    </row>
    <row r="880" ht="12.75" customHeight="1">
      <c r="D880" s="66"/>
      <c r="E880" s="66"/>
      <c r="F880" s="66"/>
      <c r="G880" s="66"/>
      <c r="H880" s="66"/>
      <c r="I880" s="66"/>
      <c r="J880" s="66"/>
    </row>
    <row r="881" ht="12.75" customHeight="1">
      <c r="D881" s="66"/>
      <c r="E881" s="66"/>
      <c r="F881" s="66"/>
      <c r="G881" s="66"/>
      <c r="H881" s="66"/>
      <c r="I881" s="66"/>
      <c r="J881" s="66"/>
    </row>
    <row r="882" ht="12.75" customHeight="1">
      <c r="D882" s="66"/>
      <c r="E882" s="66"/>
      <c r="F882" s="66"/>
      <c r="G882" s="66"/>
      <c r="H882" s="66"/>
      <c r="I882" s="66"/>
      <c r="J882" s="66"/>
    </row>
    <row r="883" ht="12.75" customHeight="1">
      <c r="D883" s="66"/>
      <c r="E883" s="66"/>
      <c r="F883" s="66"/>
      <c r="G883" s="66"/>
      <c r="H883" s="66"/>
      <c r="I883" s="66"/>
      <c r="J883" s="66"/>
    </row>
    <row r="884" ht="12.75" customHeight="1">
      <c r="D884" s="66"/>
      <c r="E884" s="66"/>
      <c r="F884" s="66"/>
      <c r="G884" s="66"/>
      <c r="H884" s="66"/>
      <c r="I884" s="66"/>
      <c r="J884" s="66"/>
    </row>
    <row r="885" ht="12.75" customHeight="1">
      <c r="D885" s="66"/>
      <c r="E885" s="66"/>
      <c r="F885" s="66"/>
      <c r="G885" s="66"/>
      <c r="H885" s="66"/>
      <c r="I885" s="66"/>
      <c r="J885" s="66"/>
    </row>
    <row r="886" ht="12.75" customHeight="1">
      <c r="D886" s="66"/>
      <c r="E886" s="66"/>
      <c r="F886" s="66"/>
      <c r="G886" s="66"/>
      <c r="H886" s="66"/>
      <c r="I886" s="66"/>
      <c r="J886" s="66"/>
    </row>
    <row r="887" ht="12.75" customHeight="1">
      <c r="D887" s="66"/>
      <c r="E887" s="66"/>
      <c r="F887" s="66"/>
      <c r="G887" s="66"/>
      <c r="H887" s="66"/>
      <c r="I887" s="66"/>
      <c r="J887" s="66"/>
    </row>
    <row r="888" ht="12.75" customHeight="1">
      <c r="D888" s="66"/>
      <c r="E888" s="66"/>
      <c r="F888" s="66"/>
      <c r="G888" s="66"/>
      <c r="H888" s="66"/>
      <c r="I888" s="66"/>
      <c r="J888" s="66"/>
    </row>
    <row r="889" ht="12.75" customHeight="1">
      <c r="D889" s="66"/>
      <c r="E889" s="66"/>
      <c r="F889" s="66"/>
      <c r="G889" s="66"/>
      <c r="H889" s="66"/>
      <c r="I889" s="66"/>
      <c r="J889" s="66"/>
    </row>
    <row r="890" ht="12.75" customHeight="1">
      <c r="D890" s="66"/>
      <c r="E890" s="66"/>
      <c r="F890" s="66"/>
      <c r="G890" s="66"/>
      <c r="H890" s="66"/>
      <c r="I890" s="66"/>
      <c r="J890" s="66"/>
    </row>
    <row r="891" ht="12.75" customHeight="1">
      <c r="D891" s="66"/>
      <c r="E891" s="66"/>
      <c r="F891" s="66"/>
      <c r="G891" s="66"/>
      <c r="H891" s="66"/>
      <c r="I891" s="66"/>
      <c r="J891" s="66"/>
    </row>
    <row r="892" ht="12.75" customHeight="1">
      <c r="D892" s="66"/>
      <c r="E892" s="66"/>
      <c r="F892" s="66"/>
      <c r="G892" s="66"/>
      <c r="H892" s="66"/>
      <c r="I892" s="66"/>
      <c r="J892" s="66"/>
    </row>
    <row r="893" ht="12.75" customHeight="1">
      <c r="D893" s="66"/>
      <c r="E893" s="66"/>
      <c r="F893" s="66"/>
      <c r="G893" s="66"/>
      <c r="H893" s="66"/>
      <c r="I893" s="66"/>
      <c r="J893" s="66"/>
    </row>
    <row r="894" ht="12.75" customHeight="1">
      <c r="D894" s="66"/>
      <c r="E894" s="66"/>
      <c r="F894" s="66"/>
      <c r="G894" s="66"/>
      <c r="H894" s="66"/>
      <c r="I894" s="66"/>
      <c r="J894" s="66"/>
    </row>
    <row r="895" ht="12.75" customHeight="1">
      <c r="D895" s="66"/>
      <c r="E895" s="66"/>
      <c r="F895" s="66"/>
      <c r="G895" s="66"/>
      <c r="H895" s="66"/>
      <c r="I895" s="66"/>
      <c r="J895" s="66"/>
    </row>
    <row r="896" ht="12.75" customHeight="1">
      <c r="D896" s="66"/>
      <c r="E896" s="66"/>
      <c r="F896" s="66"/>
      <c r="G896" s="66"/>
      <c r="H896" s="66"/>
      <c r="I896" s="66"/>
      <c r="J896" s="66"/>
    </row>
    <row r="897" ht="12.75" customHeight="1">
      <c r="D897" s="66"/>
      <c r="E897" s="66"/>
      <c r="F897" s="66"/>
      <c r="G897" s="66"/>
      <c r="H897" s="66"/>
      <c r="I897" s="66"/>
      <c r="J897" s="66"/>
    </row>
    <row r="898" ht="12.75" customHeight="1">
      <c r="D898" s="66"/>
      <c r="E898" s="66"/>
      <c r="F898" s="66"/>
      <c r="G898" s="66"/>
      <c r="H898" s="66"/>
      <c r="I898" s="66"/>
      <c r="J898" s="66"/>
    </row>
    <row r="899" ht="12.75" customHeight="1">
      <c r="D899" s="66"/>
      <c r="E899" s="66"/>
      <c r="F899" s="66"/>
      <c r="G899" s="66"/>
      <c r="H899" s="66"/>
      <c r="I899" s="66"/>
      <c r="J899" s="66"/>
    </row>
    <row r="900" ht="12.75" customHeight="1">
      <c r="D900" s="66"/>
      <c r="E900" s="66"/>
      <c r="F900" s="66"/>
      <c r="G900" s="66"/>
      <c r="H900" s="66"/>
      <c r="I900" s="66"/>
      <c r="J900" s="66"/>
    </row>
    <row r="901" ht="12.75" customHeight="1">
      <c r="D901" s="66"/>
      <c r="E901" s="66"/>
      <c r="F901" s="66"/>
      <c r="G901" s="66"/>
      <c r="H901" s="66"/>
      <c r="I901" s="66"/>
      <c r="J901" s="66"/>
    </row>
    <row r="902" ht="12.75" customHeight="1">
      <c r="D902" s="66"/>
      <c r="E902" s="66"/>
      <c r="F902" s="66"/>
      <c r="G902" s="66"/>
      <c r="H902" s="66"/>
      <c r="I902" s="66"/>
      <c r="J902" s="66"/>
    </row>
    <row r="903" ht="12.75" customHeight="1">
      <c r="D903" s="66"/>
      <c r="E903" s="66"/>
      <c r="F903" s="66"/>
      <c r="G903" s="66"/>
      <c r="H903" s="66"/>
      <c r="I903" s="66"/>
      <c r="J903" s="66"/>
    </row>
    <row r="904" ht="12.75" customHeight="1">
      <c r="D904" s="66"/>
      <c r="E904" s="66"/>
      <c r="F904" s="66"/>
      <c r="G904" s="66"/>
      <c r="H904" s="66"/>
      <c r="I904" s="66"/>
      <c r="J904" s="66"/>
    </row>
    <row r="905" ht="12.75" customHeight="1">
      <c r="D905" s="66"/>
      <c r="E905" s="66"/>
      <c r="F905" s="66"/>
      <c r="G905" s="66"/>
      <c r="H905" s="66"/>
      <c r="I905" s="66"/>
      <c r="J905" s="66"/>
    </row>
    <row r="906" ht="12.75" customHeight="1">
      <c r="D906" s="66"/>
      <c r="E906" s="66"/>
      <c r="F906" s="66"/>
      <c r="G906" s="66"/>
      <c r="H906" s="66"/>
      <c r="I906" s="66"/>
      <c r="J906" s="66"/>
    </row>
    <row r="907" ht="12.75" customHeight="1">
      <c r="D907" s="66"/>
      <c r="E907" s="66"/>
      <c r="F907" s="66"/>
      <c r="G907" s="66"/>
      <c r="H907" s="66"/>
      <c r="I907" s="66"/>
      <c r="J907" s="66"/>
    </row>
    <row r="908" ht="12.75" customHeight="1">
      <c r="D908" s="66"/>
      <c r="E908" s="66"/>
      <c r="F908" s="66"/>
      <c r="G908" s="66"/>
      <c r="H908" s="66"/>
      <c r="I908" s="66"/>
      <c r="J908" s="66"/>
    </row>
    <row r="909" ht="12.75" customHeight="1">
      <c r="D909" s="66"/>
      <c r="E909" s="66"/>
      <c r="F909" s="66"/>
      <c r="G909" s="66"/>
      <c r="H909" s="66"/>
      <c r="I909" s="66"/>
      <c r="J909" s="66"/>
    </row>
    <row r="910" ht="12.75" customHeight="1">
      <c r="D910" s="66"/>
      <c r="E910" s="66"/>
      <c r="F910" s="66"/>
      <c r="G910" s="66"/>
      <c r="H910" s="66"/>
      <c r="I910" s="66"/>
      <c r="J910" s="66"/>
    </row>
    <row r="911" ht="12.75" customHeight="1">
      <c r="D911" s="66"/>
      <c r="E911" s="66"/>
      <c r="F911" s="66"/>
      <c r="G911" s="66"/>
      <c r="H911" s="66"/>
      <c r="I911" s="66"/>
      <c r="J911" s="66"/>
    </row>
    <row r="912" ht="12.75" customHeight="1">
      <c r="D912" s="66"/>
      <c r="E912" s="66"/>
      <c r="F912" s="66"/>
      <c r="G912" s="66"/>
      <c r="H912" s="66"/>
      <c r="I912" s="66"/>
      <c r="J912" s="66"/>
    </row>
    <row r="913" ht="12.75" customHeight="1">
      <c r="D913" s="66"/>
      <c r="E913" s="66"/>
      <c r="F913" s="66"/>
      <c r="G913" s="66"/>
      <c r="H913" s="66"/>
      <c r="I913" s="66"/>
      <c r="J913" s="66"/>
    </row>
    <row r="914" ht="12.75" customHeight="1">
      <c r="D914" s="66"/>
      <c r="E914" s="66"/>
      <c r="F914" s="66"/>
      <c r="G914" s="66"/>
      <c r="H914" s="66"/>
      <c r="I914" s="66"/>
      <c r="J914" s="66"/>
    </row>
    <row r="915" ht="12.75" customHeight="1">
      <c r="D915" s="66"/>
      <c r="E915" s="66"/>
      <c r="F915" s="66"/>
      <c r="G915" s="66"/>
      <c r="H915" s="66"/>
      <c r="I915" s="66"/>
      <c r="J915" s="66"/>
    </row>
    <row r="916" ht="12.75" customHeight="1">
      <c r="D916" s="66"/>
      <c r="E916" s="66"/>
      <c r="F916" s="66"/>
      <c r="G916" s="66"/>
      <c r="H916" s="66"/>
      <c r="I916" s="66"/>
      <c r="J916" s="66"/>
    </row>
    <row r="917" ht="12.75" customHeight="1">
      <c r="D917" s="66"/>
      <c r="E917" s="66"/>
      <c r="F917" s="66"/>
      <c r="G917" s="66"/>
      <c r="H917" s="66"/>
      <c r="I917" s="66"/>
      <c r="J917" s="66"/>
    </row>
    <row r="918" ht="12.75" customHeight="1">
      <c r="D918" s="66"/>
      <c r="E918" s="66"/>
      <c r="F918" s="66"/>
      <c r="G918" s="66"/>
      <c r="H918" s="66"/>
      <c r="I918" s="66"/>
      <c r="J918" s="66"/>
    </row>
    <row r="919" ht="12.75" customHeight="1">
      <c r="D919" s="66"/>
      <c r="E919" s="66"/>
      <c r="F919" s="66"/>
      <c r="G919" s="66"/>
      <c r="H919" s="66"/>
      <c r="I919" s="66"/>
      <c r="J919" s="66"/>
    </row>
    <row r="920" ht="12.75" customHeight="1">
      <c r="D920" s="66"/>
      <c r="E920" s="66"/>
      <c r="F920" s="66"/>
      <c r="G920" s="66"/>
      <c r="H920" s="66"/>
      <c r="I920" s="66"/>
      <c r="J920" s="66"/>
    </row>
    <row r="921" ht="12.75" customHeight="1">
      <c r="D921" s="66"/>
      <c r="E921" s="66"/>
      <c r="F921" s="66"/>
      <c r="G921" s="66"/>
      <c r="H921" s="66"/>
      <c r="I921" s="66"/>
      <c r="J921" s="66"/>
    </row>
    <row r="922" ht="12.75" customHeight="1">
      <c r="D922" s="66"/>
      <c r="E922" s="66"/>
      <c r="F922" s="66"/>
      <c r="G922" s="66"/>
      <c r="H922" s="66"/>
      <c r="I922" s="66"/>
      <c r="J922" s="66"/>
    </row>
    <row r="923" ht="12.75" customHeight="1">
      <c r="D923" s="66"/>
      <c r="E923" s="66"/>
      <c r="F923" s="66"/>
      <c r="G923" s="66"/>
      <c r="H923" s="66"/>
      <c r="I923" s="66"/>
      <c r="J923" s="66"/>
    </row>
    <row r="924" ht="12.75" customHeight="1">
      <c r="D924" s="66"/>
      <c r="E924" s="66"/>
      <c r="F924" s="66"/>
      <c r="G924" s="66"/>
      <c r="H924" s="66"/>
      <c r="I924" s="66"/>
      <c r="J924" s="66"/>
    </row>
    <row r="925" ht="12.75" customHeight="1">
      <c r="D925" s="66"/>
      <c r="E925" s="66"/>
      <c r="F925" s="66"/>
      <c r="G925" s="66"/>
      <c r="H925" s="66"/>
      <c r="I925" s="66"/>
      <c r="J925" s="66"/>
    </row>
    <row r="926" ht="12.75" customHeight="1">
      <c r="D926" s="66"/>
      <c r="E926" s="66"/>
      <c r="F926" s="66"/>
      <c r="G926" s="66"/>
      <c r="H926" s="66"/>
      <c r="I926" s="66"/>
      <c r="J926" s="66"/>
    </row>
    <row r="927" ht="12.75" customHeight="1">
      <c r="D927" s="66"/>
      <c r="E927" s="66"/>
      <c r="F927" s="66"/>
      <c r="G927" s="66"/>
      <c r="H927" s="66"/>
      <c r="I927" s="66"/>
      <c r="J927" s="66"/>
    </row>
    <row r="928" ht="12.75" customHeight="1">
      <c r="D928" s="66"/>
      <c r="E928" s="66"/>
      <c r="F928" s="66"/>
      <c r="G928" s="66"/>
      <c r="H928" s="66"/>
      <c r="I928" s="66"/>
      <c r="J928" s="66"/>
    </row>
    <row r="929" ht="12.75" customHeight="1">
      <c r="D929" s="66"/>
      <c r="E929" s="66"/>
      <c r="F929" s="66"/>
      <c r="G929" s="66"/>
      <c r="H929" s="66"/>
      <c r="I929" s="66"/>
      <c r="J929" s="66"/>
    </row>
    <row r="930" ht="12.75" customHeight="1">
      <c r="D930" s="66"/>
      <c r="E930" s="66"/>
      <c r="F930" s="66"/>
      <c r="G930" s="66"/>
      <c r="H930" s="66"/>
      <c r="I930" s="66"/>
      <c r="J930" s="66"/>
    </row>
    <row r="931" ht="12.75" customHeight="1">
      <c r="D931" s="66"/>
      <c r="E931" s="66"/>
      <c r="F931" s="66"/>
      <c r="G931" s="66"/>
      <c r="H931" s="66"/>
      <c r="I931" s="66"/>
      <c r="J931" s="66"/>
    </row>
    <row r="932" ht="12.75" customHeight="1">
      <c r="D932" s="66"/>
      <c r="E932" s="66"/>
      <c r="F932" s="66"/>
      <c r="G932" s="66"/>
      <c r="H932" s="66"/>
      <c r="I932" s="66"/>
      <c r="J932" s="66"/>
    </row>
    <row r="933" ht="12.75" customHeight="1">
      <c r="D933" s="66"/>
      <c r="E933" s="66"/>
      <c r="F933" s="66"/>
      <c r="G933" s="66"/>
      <c r="H933" s="66"/>
      <c r="I933" s="66"/>
      <c r="J933" s="66"/>
    </row>
    <row r="934" ht="12.75" customHeight="1">
      <c r="D934" s="66"/>
      <c r="E934" s="66"/>
      <c r="F934" s="66"/>
      <c r="G934" s="66"/>
      <c r="H934" s="66"/>
      <c r="I934" s="66"/>
      <c r="J934" s="66"/>
    </row>
    <row r="935" ht="12.75" customHeight="1">
      <c r="D935" s="66"/>
      <c r="E935" s="66"/>
      <c r="F935" s="66"/>
      <c r="G935" s="66"/>
      <c r="H935" s="66"/>
      <c r="I935" s="66"/>
      <c r="J935" s="66"/>
    </row>
    <row r="936" ht="12.75" customHeight="1">
      <c r="D936" s="66"/>
      <c r="E936" s="66"/>
      <c r="F936" s="66"/>
      <c r="G936" s="66"/>
      <c r="H936" s="66"/>
      <c r="I936" s="66"/>
      <c r="J936" s="66"/>
    </row>
    <row r="937" ht="12.75" customHeight="1">
      <c r="D937" s="66"/>
      <c r="E937" s="66"/>
      <c r="F937" s="66"/>
      <c r="G937" s="66"/>
      <c r="H937" s="66"/>
      <c r="I937" s="66"/>
      <c r="J937" s="66"/>
    </row>
    <row r="938" ht="12.75" customHeight="1">
      <c r="D938" s="66"/>
      <c r="E938" s="66"/>
      <c r="F938" s="66"/>
      <c r="G938" s="66"/>
      <c r="H938" s="66"/>
      <c r="I938" s="66"/>
      <c r="J938" s="66"/>
    </row>
    <row r="939" ht="12.75" customHeight="1">
      <c r="D939" s="66"/>
      <c r="E939" s="66"/>
      <c r="F939" s="66"/>
      <c r="G939" s="66"/>
      <c r="H939" s="66"/>
      <c r="I939" s="66"/>
      <c r="J939" s="66"/>
    </row>
    <row r="940" ht="12.75" customHeight="1">
      <c r="D940" s="66"/>
      <c r="E940" s="66"/>
      <c r="F940" s="66"/>
      <c r="G940" s="66"/>
      <c r="H940" s="66"/>
      <c r="I940" s="66"/>
      <c r="J940" s="66"/>
    </row>
    <row r="941" ht="12.75" customHeight="1">
      <c r="D941" s="66"/>
      <c r="E941" s="66"/>
      <c r="F941" s="66"/>
      <c r="G941" s="66"/>
      <c r="H941" s="66"/>
      <c r="I941" s="66"/>
      <c r="J941" s="66"/>
    </row>
    <row r="942" ht="12.75" customHeight="1">
      <c r="D942" s="66"/>
      <c r="E942" s="66"/>
      <c r="F942" s="66"/>
      <c r="G942" s="66"/>
      <c r="H942" s="66"/>
      <c r="I942" s="66"/>
      <c r="J942" s="66"/>
    </row>
    <row r="943" ht="12.75" customHeight="1">
      <c r="D943" s="66"/>
      <c r="E943" s="66"/>
      <c r="F943" s="66"/>
      <c r="G943" s="66"/>
      <c r="H943" s="66"/>
      <c r="I943" s="66"/>
      <c r="J943" s="66"/>
    </row>
    <row r="944" ht="12.75" customHeight="1">
      <c r="D944" s="66"/>
      <c r="E944" s="66"/>
      <c r="F944" s="66"/>
      <c r="G944" s="66"/>
      <c r="H944" s="66"/>
      <c r="I944" s="66"/>
      <c r="J944" s="66"/>
    </row>
    <row r="945" ht="12.75" customHeight="1">
      <c r="D945" s="66"/>
      <c r="E945" s="66"/>
      <c r="F945" s="66"/>
      <c r="G945" s="66"/>
      <c r="H945" s="66"/>
      <c r="I945" s="66"/>
      <c r="J945" s="66"/>
    </row>
    <row r="946" ht="12.75" customHeight="1">
      <c r="D946" s="66"/>
      <c r="E946" s="66"/>
      <c r="F946" s="66"/>
      <c r="G946" s="66"/>
      <c r="H946" s="66"/>
      <c r="I946" s="66"/>
      <c r="J946" s="66"/>
    </row>
    <row r="947" ht="12.75" customHeight="1">
      <c r="D947" s="66"/>
      <c r="E947" s="66"/>
      <c r="F947" s="66"/>
      <c r="G947" s="66"/>
      <c r="H947" s="66"/>
      <c r="I947" s="66"/>
      <c r="J947" s="66"/>
    </row>
    <row r="948" ht="12.75" customHeight="1">
      <c r="D948" s="66"/>
      <c r="E948" s="66"/>
      <c r="F948" s="66"/>
      <c r="G948" s="66"/>
      <c r="H948" s="66"/>
      <c r="I948" s="66"/>
      <c r="J948" s="66"/>
    </row>
    <row r="949" ht="12.75" customHeight="1">
      <c r="D949" s="66"/>
      <c r="E949" s="66"/>
      <c r="F949" s="66"/>
      <c r="G949" s="66"/>
      <c r="H949" s="66"/>
      <c r="I949" s="66"/>
      <c r="J949" s="66"/>
    </row>
    <row r="950" ht="12.75" customHeight="1">
      <c r="D950" s="66"/>
      <c r="E950" s="66"/>
      <c r="F950" s="66"/>
      <c r="G950" s="66"/>
      <c r="H950" s="66"/>
      <c r="I950" s="66"/>
      <c r="J950" s="66"/>
    </row>
    <row r="951" ht="12.75" customHeight="1">
      <c r="D951" s="66"/>
      <c r="E951" s="66"/>
      <c r="F951" s="66"/>
      <c r="G951" s="66"/>
      <c r="H951" s="66"/>
      <c r="I951" s="66"/>
      <c r="J951" s="66"/>
    </row>
    <row r="952" ht="12.75" customHeight="1">
      <c r="D952" s="66"/>
      <c r="E952" s="66"/>
      <c r="F952" s="66"/>
      <c r="G952" s="66"/>
      <c r="H952" s="66"/>
      <c r="I952" s="66"/>
      <c r="J952" s="66"/>
    </row>
    <row r="953" ht="12.75" customHeight="1">
      <c r="D953" s="66"/>
      <c r="E953" s="66"/>
      <c r="F953" s="66"/>
      <c r="G953" s="66"/>
      <c r="H953" s="66"/>
      <c r="I953" s="66"/>
      <c r="J953" s="66"/>
    </row>
    <row r="954" ht="12.75" customHeight="1">
      <c r="D954" s="66"/>
      <c r="E954" s="66"/>
      <c r="F954" s="66"/>
      <c r="G954" s="66"/>
      <c r="H954" s="66"/>
      <c r="I954" s="66"/>
      <c r="J954" s="66"/>
    </row>
    <row r="955" ht="12.75" customHeight="1">
      <c r="D955" s="66"/>
      <c r="E955" s="66"/>
      <c r="F955" s="66"/>
      <c r="G955" s="66"/>
      <c r="H955" s="66"/>
      <c r="I955" s="66"/>
      <c r="J955" s="66"/>
    </row>
    <row r="956" ht="12.75" customHeight="1">
      <c r="D956" s="66"/>
      <c r="E956" s="66"/>
      <c r="F956" s="66"/>
      <c r="G956" s="66"/>
      <c r="H956" s="66"/>
      <c r="I956" s="66"/>
      <c r="J956" s="66"/>
    </row>
    <row r="957" ht="12.75" customHeight="1">
      <c r="D957" s="66"/>
      <c r="E957" s="66"/>
      <c r="F957" s="66"/>
      <c r="G957" s="66"/>
      <c r="H957" s="66"/>
      <c r="I957" s="66"/>
      <c r="J957" s="66"/>
    </row>
    <row r="958" ht="12.75" customHeight="1">
      <c r="D958" s="66"/>
      <c r="E958" s="66"/>
      <c r="F958" s="66"/>
      <c r="G958" s="66"/>
      <c r="H958" s="66"/>
      <c r="I958" s="66"/>
      <c r="J958" s="66"/>
    </row>
    <row r="959" ht="12.75" customHeight="1">
      <c r="D959" s="66"/>
      <c r="E959" s="66"/>
      <c r="F959" s="66"/>
      <c r="G959" s="66"/>
      <c r="H959" s="66"/>
      <c r="I959" s="66"/>
      <c r="J959" s="66"/>
    </row>
    <row r="960" ht="12.75" customHeight="1">
      <c r="D960" s="66"/>
      <c r="E960" s="66"/>
      <c r="F960" s="66"/>
      <c r="G960" s="66"/>
      <c r="H960" s="66"/>
      <c r="I960" s="66"/>
      <c r="J960" s="66"/>
    </row>
    <row r="961" ht="12.75" customHeight="1">
      <c r="D961" s="66"/>
      <c r="E961" s="66"/>
      <c r="F961" s="66"/>
      <c r="G961" s="66"/>
      <c r="H961" s="66"/>
      <c r="I961" s="66"/>
      <c r="J961" s="66"/>
    </row>
    <row r="962" ht="12.75" customHeight="1">
      <c r="D962" s="66"/>
      <c r="E962" s="66"/>
      <c r="F962" s="66"/>
      <c r="G962" s="66"/>
      <c r="H962" s="66"/>
      <c r="I962" s="66"/>
      <c r="J962" s="66"/>
    </row>
    <row r="963" ht="12.75" customHeight="1">
      <c r="D963" s="66"/>
      <c r="E963" s="66"/>
      <c r="F963" s="66"/>
      <c r="G963" s="66"/>
      <c r="H963" s="66"/>
      <c r="I963" s="66"/>
      <c r="J963" s="66"/>
    </row>
    <row r="964" ht="12.75" customHeight="1">
      <c r="D964" s="66"/>
      <c r="E964" s="66"/>
      <c r="F964" s="66"/>
      <c r="G964" s="66"/>
      <c r="H964" s="66"/>
      <c r="I964" s="66"/>
      <c r="J964" s="66"/>
    </row>
    <row r="965" ht="12.75" customHeight="1">
      <c r="D965" s="66"/>
      <c r="E965" s="66"/>
      <c r="F965" s="66"/>
      <c r="G965" s="66"/>
      <c r="H965" s="66"/>
      <c r="I965" s="66"/>
      <c r="J965" s="66"/>
    </row>
    <row r="966" ht="12.75" customHeight="1">
      <c r="D966" s="66"/>
      <c r="E966" s="66"/>
      <c r="F966" s="66"/>
      <c r="G966" s="66"/>
      <c r="H966" s="66"/>
      <c r="I966" s="66"/>
      <c r="J966" s="66"/>
    </row>
    <row r="967" ht="12.75" customHeight="1">
      <c r="D967" s="66"/>
      <c r="E967" s="66"/>
      <c r="F967" s="66"/>
      <c r="G967" s="66"/>
      <c r="H967" s="66"/>
      <c r="I967" s="66"/>
      <c r="J967" s="66"/>
    </row>
    <row r="968" ht="12.75" customHeight="1">
      <c r="D968" s="66"/>
      <c r="E968" s="66"/>
      <c r="F968" s="66"/>
      <c r="G968" s="66"/>
      <c r="H968" s="66"/>
      <c r="I968" s="66"/>
      <c r="J968" s="66"/>
    </row>
    <row r="969" ht="12.75" customHeight="1">
      <c r="D969" s="66"/>
      <c r="E969" s="66"/>
      <c r="F969" s="66"/>
      <c r="G969" s="66"/>
      <c r="H969" s="66"/>
      <c r="I969" s="66"/>
      <c r="J969" s="66"/>
    </row>
    <row r="970" ht="12.75" customHeight="1">
      <c r="D970" s="66"/>
      <c r="E970" s="66"/>
      <c r="F970" s="66"/>
      <c r="G970" s="66"/>
      <c r="H970" s="66"/>
      <c r="I970" s="66"/>
      <c r="J970" s="66"/>
    </row>
    <row r="971" ht="12.75" customHeight="1">
      <c r="D971" s="66"/>
      <c r="E971" s="66"/>
      <c r="F971" s="66"/>
      <c r="G971" s="66"/>
      <c r="H971" s="66"/>
      <c r="I971" s="66"/>
      <c r="J971" s="66"/>
    </row>
    <row r="972" ht="12.75" customHeight="1">
      <c r="D972" s="66"/>
      <c r="E972" s="66"/>
      <c r="F972" s="66"/>
      <c r="G972" s="66"/>
      <c r="H972" s="66"/>
      <c r="I972" s="66"/>
      <c r="J972" s="66"/>
    </row>
    <row r="973" ht="12.75" customHeight="1">
      <c r="D973" s="66"/>
      <c r="E973" s="66"/>
      <c r="F973" s="66"/>
      <c r="G973" s="66"/>
      <c r="H973" s="66"/>
      <c r="I973" s="66"/>
      <c r="J973" s="66"/>
    </row>
    <row r="974" ht="12.75" customHeight="1">
      <c r="D974" s="66"/>
      <c r="E974" s="66"/>
      <c r="F974" s="66"/>
      <c r="G974" s="66"/>
      <c r="H974" s="66"/>
      <c r="I974" s="66"/>
      <c r="J974" s="66"/>
    </row>
    <row r="975" ht="12.75" customHeight="1">
      <c r="D975" s="66"/>
      <c r="E975" s="66"/>
      <c r="F975" s="66"/>
      <c r="G975" s="66"/>
      <c r="H975" s="66"/>
      <c r="I975" s="66"/>
      <c r="J975" s="66"/>
    </row>
    <row r="976" ht="12.75" customHeight="1">
      <c r="D976" s="66"/>
      <c r="E976" s="66"/>
      <c r="F976" s="66"/>
      <c r="G976" s="66"/>
      <c r="H976" s="66"/>
      <c r="I976" s="66"/>
      <c r="J976" s="66"/>
    </row>
    <row r="977" ht="12.75" customHeight="1">
      <c r="D977" s="66"/>
      <c r="E977" s="66"/>
      <c r="F977" s="66"/>
      <c r="G977" s="66"/>
      <c r="H977" s="66"/>
      <c r="I977" s="66"/>
      <c r="J977" s="66"/>
    </row>
    <row r="978" ht="12.75" customHeight="1">
      <c r="D978" s="66"/>
      <c r="E978" s="66"/>
      <c r="F978" s="66"/>
      <c r="G978" s="66"/>
      <c r="H978" s="66"/>
      <c r="I978" s="66"/>
      <c r="J978" s="66"/>
    </row>
    <row r="979" ht="12.75" customHeight="1">
      <c r="D979" s="66"/>
      <c r="E979" s="66"/>
      <c r="F979" s="66"/>
      <c r="G979" s="66"/>
      <c r="H979" s="66"/>
      <c r="I979" s="66"/>
      <c r="J979" s="66"/>
    </row>
    <row r="980" ht="12.75" customHeight="1">
      <c r="D980" s="66"/>
      <c r="E980" s="66"/>
      <c r="F980" s="66"/>
      <c r="G980" s="66"/>
      <c r="H980" s="66"/>
      <c r="I980" s="66"/>
      <c r="J980" s="66"/>
    </row>
    <row r="981" ht="12.75" customHeight="1">
      <c r="D981" s="66"/>
      <c r="E981" s="66"/>
      <c r="F981" s="66"/>
      <c r="G981" s="66"/>
      <c r="H981" s="66"/>
      <c r="I981" s="66"/>
      <c r="J981" s="66"/>
    </row>
    <row r="982" ht="12.75" customHeight="1">
      <c r="D982" s="66"/>
      <c r="E982" s="66"/>
      <c r="F982" s="66"/>
      <c r="G982" s="66"/>
      <c r="H982" s="66"/>
      <c r="I982" s="66"/>
      <c r="J982" s="66"/>
    </row>
    <row r="983" ht="12.75" customHeight="1">
      <c r="D983" s="66"/>
      <c r="E983" s="66"/>
      <c r="F983" s="66"/>
      <c r="G983" s="66"/>
      <c r="H983" s="66"/>
      <c r="I983" s="66"/>
      <c r="J983" s="66"/>
    </row>
    <row r="984" ht="12.75" customHeight="1">
      <c r="D984" s="66"/>
      <c r="E984" s="66"/>
      <c r="F984" s="66"/>
      <c r="G984" s="66"/>
      <c r="H984" s="66"/>
      <c r="I984" s="66"/>
      <c r="J984" s="66"/>
    </row>
    <row r="985" ht="12.75" customHeight="1">
      <c r="D985" s="66"/>
      <c r="E985" s="66"/>
      <c r="F985" s="66"/>
      <c r="G985" s="66"/>
      <c r="H985" s="66"/>
      <c r="I985" s="66"/>
      <c r="J985" s="66"/>
    </row>
    <row r="986" ht="12.75" customHeight="1">
      <c r="D986" s="66"/>
      <c r="E986" s="66"/>
      <c r="F986" s="66"/>
      <c r="G986" s="66"/>
      <c r="H986" s="66"/>
      <c r="I986" s="66"/>
      <c r="J986" s="66"/>
    </row>
    <row r="987" ht="12.75" customHeight="1">
      <c r="D987" s="66"/>
      <c r="E987" s="66"/>
      <c r="F987" s="66"/>
      <c r="G987" s="66"/>
      <c r="H987" s="66"/>
      <c r="I987" s="66"/>
      <c r="J987" s="66"/>
    </row>
    <row r="988" ht="12.75" customHeight="1">
      <c r="D988" s="66"/>
      <c r="E988" s="66"/>
      <c r="F988" s="66"/>
      <c r="G988" s="66"/>
      <c r="H988" s="66"/>
      <c r="I988" s="66"/>
      <c r="J988" s="66"/>
    </row>
    <row r="989" ht="12.75" customHeight="1">
      <c r="D989" s="66"/>
      <c r="E989" s="66"/>
      <c r="F989" s="66"/>
      <c r="G989" s="66"/>
      <c r="H989" s="66"/>
      <c r="I989" s="66"/>
      <c r="J989" s="66"/>
    </row>
    <row r="990" ht="12.75" customHeight="1">
      <c r="D990" s="66"/>
      <c r="E990" s="66"/>
      <c r="F990" s="66"/>
      <c r="G990" s="66"/>
      <c r="H990" s="66"/>
      <c r="I990" s="66"/>
      <c r="J990" s="66"/>
    </row>
    <row r="991" ht="12.75" customHeight="1">
      <c r="D991" s="66"/>
      <c r="E991" s="66"/>
      <c r="F991" s="66"/>
      <c r="G991" s="66"/>
      <c r="H991" s="66"/>
      <c r="I991" s="66"/>
      <c r="J991" s="66"/>
    </row>
    <row r="992" ht="12.75" customHeight="1">
      <c r="D992" s="66"/>
      <c r="E992" s="66"/>
      <c r="F992" s="66"/>
      <c r="G992" s="66"/>
      <c r="H992" s="66"/>
      <c r="I992" s="66"/>
      <c r="J992" s="66"/>
    </row>
    <row r="993" ht="12.75" customHeight="1">
      <c r="D993" s="66"/>
      <c r="E993" s="66"/>
      <c r="F993" s="66"/>
      <c r="G993" s="66"/>
      <c r="H993" s="66"/>
      <c r="I993" s="66"/>
      <c r="J993" s="66"/>
    </row>
    <row r="994" ht="12.75" customHeight="1">
      <c r="D994" s="66"/>
      <c r="E994" s="66"/>
      <c r="F994" s="66"/>
      <c r="G994" s="66"/>
      <c r="H994" s="66"/>
      <c r="I994" s="66"/>
      <c r="J994" s="66"/>
    </row>
    <row r="995" ht="12.75" customHeight="1">
      <c r="D995" s="66"/>
      <c r="E995" s="66"/>
      <c r="F995" s="66"/>
      <c r="G995" s="66"/>
      <c r="H995" s="66"/>
      <c r="I995" s="66"/>
      <c r="J995" s="66"/>
    </row>
    <row r="996" ht="12.75" customHeight="1">
      <c r="D996" s="66"/>
      <c r="E996" s="66"/>
      <c r="F996" s="66"/>
      <c r="G996" s="66"/>
      <c r="H996" s="66"/>
      <c r="I996" s="66"/>
      <c r="J996" s="66"/>
    </row>
    <row r="997" ht="12.75" customHeight="1">
      <c r="D997" s="66"/>
      <c r="E997" s="66"/>
      <c r="F997" s="66"/>
      <c r="G997" s="66"/>
      <c r="H997" s="66"/>
      <c r="I997" s="66"/>
      <c r="J997" s="66"/>
    </row>
    <row r="998" ht="12.75" customHeight="1">
      <c r="D998" s="66"/>
      <c r="E998" s="66"/>
      <c r="F998" s="66"/>
      <c r="G998" s="66"/>
      <c r="H998" s="66"/>
      <c r="I998" s="66"/>
      <c r="J998" s="66"/>
    </row>
    <row r="999" ht="12.75" customHeight="1">
      <c r="D999" s="66"/>
      <c r="E999" s="66"/>
      <c r="F999" s="66"/>
      <c r="G999" s="66"/>
      <c r="H999" s="66"/>
      <c r="I999" s="66"/>
      <c r="J999" s="66"/>
    </row>
    <row r="1000" ht="12.75" customHeight="1">
      <c r="D1000" s="66"/>
      <c r="E1000" s="66"/>
      <c r="F1000" s="66"/>
      <c r="G1000" s="66"/>
      <c r="H1000" s="66"/>
      <c r="I1000" s="66"/>
      <c r="J1000" s="66"/>
    </row>
  </sheetData>
  <mergeCells count="4">
    <mergeCell ref="A1:J1"/>
    <mergeCell ref="A2:J2"/>
    <mergeCell ref="A3:J3"/>
    <mergeCell ref="A4:J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